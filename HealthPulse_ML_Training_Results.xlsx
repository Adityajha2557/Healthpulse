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rek\Downloads\"/>
    </mc:Choice>
  </mc:AlternateContent>
  <xr:revisionPtr revIDLastSave="0" documentId="13_ncr:1_{EB3311C2-6CB7-486B-B7C0-CFB6D19B8FC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orecaster Results" sheetId="1" r:id="rId1"/>
    <sheet name="Risk Classifier Results" sheetId="2" r:id="rId2"/>
    <sheet name="Summary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J6" i="1"/>
  <c r="K6" i="1"/>
  <c r="J7" i="1"/>
  <c r="K7" i="1"/>
  <c r="J8" i="1"/>
  <c r="K8" i="1" s="1"/>
  <c r="J9" i="1"/>
  <c r="K9" i="1" s="1"/>
  <c r="J10" i="1"/>
  <c r="K10" i="1"/>
  <c r="J11" i="1"/>
  <c r="K11" i="1"/>
  <c r="J12" i="1"/>
  <c r="K12" i="1"/>
  <c r="J13" i="1"/>
  <c r="K13" i="1" s="1"/>
  <c r="J14" i="1"/>
  <c r="K14" i="1"/>
  <c r="J15" i="1"/>
  <c r="K15" i="1"/>
  <c r="J16" i="1"/>
  <c r="K16" i="1"/>
  <c r="J17" i="1"/>
  <c r="K17" i="1" s="1"/>
  <c r="J18" i="1"/>
  <c r="K18" i="1"/>
  <c r="J19" i="1"/>
  <c r="K19" i="1"/>
  <c r="J20" i="1"/>
  <c r="K20" i="1"/>
  <c r="J21" i="1"/>
  <c r="K21" i="1" s="1"/>
  <c r="J22" i="1"/>
  <c r="K22" i="1"/>
  <c r="J23" i="1"/>
  <c r="K23" i="1"/>
  <c r="J24" i="1"/>
  <c r="K24" i="1"/>
  <c r="J25" i="1"/>
  <c r="K25" i="1" s="1"/>
  <c r="J26" i="1"/>
  <c r="K26" i="1"/>
  <c r="J27" i="1"/>
  <c r="K27" i="1"/>
  <c r="J28" i="1"/>
  <c r="K28" i="1"/>
  <c r="J29" i="1"/>
  <c r="K29" i="1" s="1"/>
  <c r="J30" i="1"/>
  <c r="K30" i="1"/>
  <c r="J31" i="1"/>
  <c r="K31" i="1"/>
  <c r="J32" i="1"/>
  <c r="K32" i="1"/>
  <c r="J33" i="1"/>
  <c r="K33" i="1" s="1"/>
  <c r="J34" i="1"/>
  <c r="K34" i="1"/>
  <c r="J35" i="1"/>
  <c r="K35" i="1"/>
  <c r="J36" i="1"/>
  <c r="K36" i="1"/>
  <c r="J37" i="1"/>
  <c r="K37" i="1" s="1"/>
  <c r="J38" i="1"/>
  <c r="K38" i="1"/>
  <c r="J39" i="1"/>
  <c r="K39" i="1"/>
  <c r="J40" i="1"/>
  <c r="K40" i="1"/>
  <c r="J41" i="1"/>
  <c r="K41" i="1" s="1"/>
  <c r="J42" i="1"/>
  <c r="K42" i="1"/>
  <c r="J43" i="1"/>
  <c r="K43" i="1"/>
  <c r="J44" i="1"/>
  <c r="K44" i="1"/>
  <c r="J45" i="1"/>
  <c r="K45" i="1" s="1"/>
  <c r="J46" i="1"/>
  <c r="K46" i="1"/>
  <c r="J47" i="1"/>
  <c r="K47" i="1"/>
  <c r="J48" i="1"/>
  <c r="K48" i="1"/>
  <c r="J49" i="1"/>
  <c r="K49" i="1" s="1"/>
  <c r="J50" i="1"/>
  <c r="K50" i="1"/>
  <c r="J51" i="1"/>
  <c r="K51" i="1"/>
  <c r="J52" i="1"/>
  <c r="K52" i="1"/>
  <c r="J53" i="1"/>
  <c r="J5" i="1"/>
  <c r="C18" i="2"/>
  <c r="H53" i="1"/>
  <c r="G53" i="1"/>
  <c r="F53" i="1"/>
  <c r="E53" i="1"/>
  <c r="K53" i="1" l="1"/>
</calcChain>
</file>

<file path=xl/sharedStrings.xml><?xml version="1.0" encoding="utf-8"?>
<sst xmlns="http://schemas.openxmlformats.org/spreadsheetml/2006/main" count="426" uniqueCount="156">
  <si>
    <t>SARIMAX Models  ·  48 Region-Keyword Combinations  ·  104 records each</t>
  </si>
  <si>
    <t>#</t>
  </si>
  <si>
    <t>Region</t>
  </si>
  <si>
    <t>Keyword</t>
  </si>
  <si>
    <t>Model</t>
  </si>
  <si>
    <t>RMSE</t>
  </si>
  <si>
    <t>MAE</t>
  </si>
  <si>
    <t>Forecast Min</t>
  </si>
  <si>
    <t>Forecast Max</t>
  </si>
  <si>
    <t>US</t>
  </si>
  <si>
    <t>Body Aches</t>
  </si>
  <si>
    <t>SARIMAX</t>
  </si>
  <si>
    <t>Cough</t>
  </si>
  <si>
    <t>Fatigue</t>
  </si>
  <si>
    <t>Fever</t>
  </si>
  <si>
    <t>Flu</t>
  </si>
  <si>
    <t>Headache</t>
  </si>
  <si>
    <t>Shortness Of Breath</t>
  </si>
  <si>
    <t>Sore Throat</t>
  </si>
  <si>
    <t>US-CA</t>
  </si>
  <si>
    <t>US-NY</t>
  </si>
  <si>
    <t>US-TX</t>
  </si>
  <si>
    <t>US-FL</t>
  </si>
  <si>
    <t>US-IL</t>
  </si>
  <si>
    <t>AVERAGES  (48 models)</t>
  </si>
  <si>
    <t>Overall Avg</t>
  </si>
  <si>
    <t>🏆  BEST MODEL</t>
  </si>
  <si>
    <t>⚠️  NEEDS ATTENTION (highest RMSE)</t>
  </si>
  <si>
    <t>Avg RMSE</t>
  </si>
  <si>
    <t>Avg MAE</t>
  </si>
  <si>
    <t>🤖  HealthPulse — Risk Classifier Training Results</t>
  </si>
  <si>
    <t>XGBoost Classifier  ·  624 Samples  ·  6 Regions  ·  13 Features</t>
  </si>
  <si>
    <t>📊  KEY PERFORMANCE METRICS</t>
  </si>
  <si>
    <t>Accuracy</t>
  </si>
  <si>
    <t>Cross-Val Score</t>
  </si>
  <si>
    <t>Training Samples</t>
  </si>
  <si>
    <t>Test Samples</t>
  </si>
  <si>
    <t>1.0000</t>
  </si>
  <si>
    <t>0.9984</t>
  </si>
  <si>
    <t>499</t>
  </si>
  <si>
    <t>125</t>
  </si>
  <si>
    <t>100.0%</t>
  </si>
  <si>
    <t>±0.0032</t>
  </si>
  <si>
    <t>of 624</t>
  </si>
  <si>
    <t>Total Features</t>
  </si>
  <si>
    <t>Distinct Classes</t>
  </si>
  <si>
    <t>13</t>
  </si>
  <si>
    <t>4</t>
  </si>
  <si>
    <t>engineered</t>
  </si>
  <si>
    <t>risk levels</t>
  </si>
  <si>
    <t>📈  RISK CLASS DISTRIBUTION</t>
  </si>
  <si>
    <t>Risk Level</t>
  </si>
  <si>
    <t>Class ID</t>
  </si>
  <si>
    <t>Count</t>
  </si>
  <si>
    <t>Percentage</t>
  </si>
  <si>
    <t>Support</t>
  </si>
  <si>
    <t>Representation</t>
  </si>
  <si>
    <t>Color Code</t>
  </si>
  <si>
    <t>Description</t>
  </si>
  <si>
    <t>Low</t>
  </si>
  <si>
    <t>36.1%</t>
  </si>
  <si>
    <t>High</t>
  </si>
  <si>
    <t>███████  36.1%</t>
  </si>
  <si>
    <t>Class 0</t>
  </si>
  <si>
    <t>Search volumes in lowest 25th percentile</t>
  </si>
  <si>
    <t>Medium</t>
  </si>
  <si>
    <t>46.0%</t>
  </si>
  <si>
    <t>█████████  46.0%</t>
  </si>
  <si>
    <t>Class 1</t>
  </si>
  <si>
    <t>Search volumes 25–50th percentile</t>
  </si>
  <si>
    <t>13.9%</t>
  </si>
  <si>
    <t>Med</t>
  </si>
  <si>
    <t>██  13.9%</t>
  </si>
  <si>
    <t>Class 2</t>
  </si>
  <si>
    <t>Search volumes 50–75th percentile</t>
  </si>
  <si>
    <t>Critical</t>
  </si>
  <si>
    <t>4.0%</t>
  </si>
  <si>
    <t xml:space="preserve">  4.0%</t>
  </si>
  <si>
    <t>Class 3</t>
  </si>
  <si>
    <t>Search volumes above 75th percentile</t>
  </si>
  <si>
    <t>TOTAL</t>
  </si>
  <si>
    <t>100%</t>
  </si>
  <si>
    <t>All classes</t>
  </si>
  <si>
    <t>🔍  ENGINEERED FEATURES USED IN TRAINING</t>
  </si>
  <si>
    <t>Feature Name</t>
  </si>
  <si>
    <t>Type</t>
  </si>
  <si>
    <t>Imp. (est.)</t>
  </si>
  <si>
    <t>volume_mean</t>
  </si>
  <si>
    <t>Aggregated</t>
  </si>
  <si>
    <t>Mean search volume across all keywords per day</t>
  </si>
  <si>
    <t>volume_std</t>
  </si>
  <si>
    <t>Std deviation of search volume</t>
  </si>
  <si>
    <t>volume_max</t>
  </si>
  <si>
    <t>Peak search volume</t>
  </si>
  <si>
    <t>volume_min</t>
  </si>
  <si>
    <t>Minimum search volume</t>
  </si>
  <si>
    <t>growth_mean</t>
  </si>
  <si>
    <t>Trend</t>
  </si>
  <si>
    <t>Mean growth rate of search interest</t>
  </si>
  <si>
    <t>growth_std</t>
  </si>
  <si>
    <t>Variability in growth rate</t>
  </si>
  <si>
    <t>zscore_mean</t>
  </si>
  <si>
    <t>Anomaly</t>
  </si>
  <si>
    <t>Mean z-score (deviation from baseline)</t>
  </si>
  <si>
    <t>zscore_max</t>
  </si>
  <si>
    <t>Max z-score — detects spikes</t>
  </si>
  <si>
    <t>anomaly_count</t>
  </si>
  <si>
    <t>Number of anomaly flags triggered</t>
  </si>
  <si>
    <t>volume_7d_avg</t>
  </si>
  <si>
    <t>Rolling</t>
  </si>
  <si>
    <t>7-day rolling average of volume</t>
  </si>
  <si>
    <t>volume_14d_avg</t>
  </si>
  <si>
    <t>14-day rolling average of volume</t>
  </si>
  <si>
    <t>volume_momentum</t>
  </si>
  <si>
    <t>Difference between 7d and 14d avg (trend velocity)</t>
  </si>
  <si>
    <t>keyword_count</t>
  </si>
  <si>
    <t>Coverage</t>
  </si>
  <si>
    <t>Number of distinct symptom keywords in window</t>
  </si>
  <si>
    <t>Sample</t>
  </si>
  <si>
    <t>Risk Score</t>
  </si>
  <si>
    <t>Confidence</t>
  </si>
  <si>
    <t>Prob Low</t>
  </si>
  <si>
    <t>Prob Medium</t>
  </si>
  <si>
    <t>Prob High</t>
  </si>
  <si>
    <t>Prob Critical</t>
  </si>
  <si>
    <t>Training completed 21 March 2026  ·  4,992 records  ·  6 regions  ·  8 keywords</t>
  </si>
  <si>
    <t>48
Forecaster
Models Trained</t>
  </si>
  <si>
    <t>1
Risk Classifier
Trained</t>
  </si>
  <si>
    <t>4,992
Training
Records</t>
  </si>
  <si>
    <t>99.84%
Classifier
CV Accuracy</t>
  </si>
  <si>
    <t>10.01
Avg RMSE
(Forecasters)</t>
  </si>
  <si>
    <t>6.16
Avg MAE
(Forecasters)</t>
  </si>
  <si>
    <t>285 MB
Model
Storage</t>
  </si>
  <si>
    <t>49
Total .pkl
Files Saved</t>
  </si>
  <si>
    <t>🗺️  PERFORMANCE BY REGION</t>
  </si>
  <si>
    <t>Models Trained</t>
  </si>
  <si>
    <t>Best Keyword</t>
  </si>
  <si>
    <t>Best RMSE</t>
  </si>
  <si>
    <t>Worst Keyword</t>
  </si>
  <si>
    <t>Worst RMSE</t>
  </si>
  <si>
    <t>🔑  PERFORMANCE BY KEYWORD</t>
  </si>
  <si>
    <t>Best Region</t>
  </si>
  <si>
    <t>Worst Region</t>
  </si>
  <si>
    <t>Comments</t>
  </si>
  <si>
    <t>Good</t>
  </si>
  <si>
    <t xml:space="preserve"> Excellent</t>
  </si>
  <si>
    <t xml:space="preserve"> Good</t>
  </si>
  <si>
    <t xml:space="preserve"> Fair</t>
  </si>
  <si>
    <t>Fair</t>
  </si>
  <si>
    <t>Review</t>
  </si>
  <si>
    <t>Excellent</t>
  </si>
  <si>
    <t>SAMPLE MODEL PREDICTIONS (5 test samples)</t>
  </si>
  <si>
    <t>HealthPulse ML Training — Executive Summary Dashboard</t>
  </si>
  <si>
    <t>HealthPulse — Time-Series Forecaster Training Results</t>
  </si>
  <si>
    <t>Avg Search Volume</t>
  </si>
  <si>
    <t>MAPE Accuracy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</si>
</sst>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%"/>
  </numFmts>
  <fonts count="3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334155"/>
      <name val="Arial"/>
    </font>
    <font>
      <b/>
      <sz val="10"/>
      <color rgb="FF2563EB"/>
      <name val="Arial"/>
    </font>
    <font>
      <b/>
      <sz val="10"/>
      <color rgb="FF065F46"/>
      <name val="Arial"/>
    </font>
    <font>
      <b/>
      <sz val="10"/>
      <color rgb="FF4C1D95"/>
      <name val="Arial"/>
    </font>
    <font>
      <b/>
      <sz val="10"/>
      <color rgb="FF92400E"/>
      <name val="Arial"/>
    </font>
    <font>
      <b/>
      <sz val="10"/>
      <color rgb="FF7F1D1D"/>
      <name val="Arial"/>
    </font>
    <font>
      <b/>
      <sz val="10"/>
      <color rgb="FF1E3A5F"/>
      <name val="Arial"/>
    </font>
    <font>
      <b/>
      <sz val="18"/>
      <color rgb="FF065F46"/>
      <name val="Arial"/>
    </font>
    <font>
      <sz val="9"/>
      <color rgb="FF065F46"/>
      <name val="Arial"/>
    </font>
    <font>
      <b/>
      <sz val="18"/>
      <color rgb="FF2563EB"/>
      <name val="Arial"/>
    </font>
    <font>
      <sz val="9"/>
      <color rgb="FF2563EB"/>
      <name val="Arial"/>
    </font>
    <font>
      <b/>
      <sz val="18"/>
      <color rgb="FF4C1D95"/>
      <name val="Arial"/>
    </font>
    <font>
      <sz val="9"/>
      <color rgb="FF4C1D95"/>
      <name val="Arial"/>
    </font>
    <font>
      <b/>
      <sz val="18"/>
      <color rgb="FF92400E"/>
      <name val="Arial"/>
    </font>
    <font>
      <sz val="9"/>
      <color rgb="FF92400E"/>
      <name val="Arial"/>
    </font>
    <font>
      <b/>
      <sz val="18"/>
      <color rgb="FF7F1D1D"/>
      <name val="Arial"/>
    </font>
    <font>
      <sz val="9"/>
      <color rgb="FF7F1D1D"/>
      <name val="Arial"/>
    </font>
    <font>
      <b/>
      <sz val="9"/>
      <color rgb="FF2563EB"/>
      <name val="Courier New"/>
    </font>
    <font>
      <b/>
      <sz val="9"/>
      <color rgb="FF065F46"/>
      <name val="Arial"/>
    </font>
    <font>
      <b/>
      <sz val="9"/>
      <color rgb="FF2563EB"/>
      <name val="Arial"/>
    </font>
    <font>
      <b/>
      <sz val="9"/>
      <color rgb="FF334155"/>
      <name val="Arial"/>
    </font>
    <font>
      <b/>
      <sz val="14"/>
      <color rgb="FF2563EB"/>
      <name val="Arial"/>
    </font>
    <font>
      <b/>
      <sz val="14"/>
      <color rgb="FF065F46"/>
      <name val="Arial"/>
    </font>
    <font>
      <b/>
      <sz val="14"/>
      <color rgb="FF4C1D95"/>
      <name val="Arial"/>
    </font>
    <font>
      <b/>
      <sz val="14"/>
      <color rgb="FF92400E"/>
      <name val="Arial"/>
    </font>
    <font>
      <b/>
      <sz val="14"/>
      <color rgb="FF334155"/>
      <name val="Arial"/>
    </font>
    <font>
      <sz val="10"/>
      <color rgb="FF065F46"/>
      <name val="Arial"/>
    </font>
    <font>
      <sz val="10"/>
      <color rgb="FF92400E"/>
      <name val="Arial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EF9C3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2" fillId="7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3" fontId="8" fillId="9" borderId="1" xfId="0" applyNumberFormat="1" applyFont="1" applyFill="1" applyBorder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2" fontId="30" fillId="7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2" fontId="31" fillId="9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7" fontId="0" fillId="0" borderId="2" xfId="0" applyNumberFormat="1" applyBorder="1"/>
    <xf numFmtId="167" fontId="3" fillId="2" borderId="2" xfId="0" applyNumberFormat="1" applyFont="1" applyFill="1" applyBorder="1" applyAlignment="1">
      <alignment horizontal="center" vertical="center" wrapText="1"/>
    </xf>
    <xf numFmtId="167" fontId="0" fillId="0" borderId="2" xfId="0" applyNumberFormat="1" applyBorder="1" applyAlignment="1">
      <alignment horizontal="center"/>
    </xf>
    <xf numFmtId="167" fontId="0" fillId="0" borderId="0" xfId="0" applyNumberFormat="1"/>
    <xf numFmtId="167" fontId="2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4" borderId="0" xfId="0" applyFill="1"/>
    <xf numFmtId="0" fontId="27" fillId="10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6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RMSE &amp; MAE by Keyword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'Forecaster Results'!$B$59</c:f>
              <c:strCache>
                <c:ptCount val="1"/>
                <c:pt idx="0">
                  <c:v>Avg RMSE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'Forecaster Results'!$A$60:$A$67</c:f>
              <c:strCache>
                <c:ptCount val="8"/>
                <c:pt idx="0">
                  <c:v>Body Aches</c:v>
                </c:pt>
                <c:pt idx="1">
                  <c:v>Cough</c:v>
                </c:pt>
                <c:pt idx="2">
                  <c:v>Fatigue</c:v>
                </c:pt>
                <c:pt idx="3">
                  <c:v>Fever</c:v>
                </c:pt>
                <c:pt idx="4">
                  <c:v>Flu</c:v>
                </c:pt>
                <c:pt idx="5">
                  <c:v>Headache</c:v>
                </c:pt>
                <c:pt idx="6">
                  <c:v>Shortness Of Breath</c:v>
                </c:pt>
                <c:pt idx="7">
                  <c:v>Sore Throat</c:v>
                </c:pt>
              </c:strCache>
            </c:strRef>
          </c:cat>
          <c:val>
            <c:numRef>
              <c:f>'Forecaster Results'!$B$60:$B$67</c:f>
              <c:numCache>
                <c:formatCode>General</c:formatCode>
                <c:ptCount val="8"/>
                <c:pt idx="0">
                  <c:v>10.73</c:v>
                </c:pt>
                <c:pt idx="1">
                  <c:v>8.17</c:v>
                </c:pt>
                <c:pt idx="2">
                  <c:v>8.8699999999999992</c:v>
                </c:pt>
                <c:pt idx="3">
                  <c:v>13.13</c:v>
                </c:pt>
                <c:pt idx="4">
                  <c:v>7.52</c:v>
                </c:pt>
                <c:pt idx="5">
                  <c:v>10.31</c:v>
                </c:pt>
                <c:pt idx="6">
                  <c:v>11.05</c:v>
                </c:pt>
                <c:pt idx="7">
                  <c:v>10.29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E-4B0C-9908-C9EBB66E4F53}"/>
            </c:ext>
          </c:extLst>
        </c:ser>
        <c:ser>
          <c:idx val="1"/>
          <c:order val="1"/>
          <c:tx>
            <c:strRef>
              <c:f>'Forecaster Results'!$C$59</c:f>
              <c:strCache>
                <c:ptCount val="1"/>
                <c:pt idx="0">
                  <c:v>Avg MAE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'Forecaster Results'!$A$60:$A$67</c:f>
              <c:strCache>
                <c:ptCount val="8"/>
                <c:pt idx="0">
                  <c:v>Body Aches</c:v>
                </c:pt>
                <c:pt idx="1">
                  <c:v>Cough</c:v>
                </c:pt>
                <c:pt idx="2">
                  <c:v>Fatigue</c:v>
                </c:pt>
                <c:pt idx="3">
                  <c:v>Fever</c:v>
                </c:pt>
                <c:pt idx="4">
                  <c:v>Flu</c:v>
                </c:pt>
                <c:pt idx="5">
                  <c:v>Headache</c:v>
                </c:pt>
                <c:pt idx="6">
                  <c:v>Shortness Of Breath</c:v>
                </c:pt>
                <c:pt idx="7">
                  <c:v>Sore Throat</c:v>
                </c:pt>
              </c:strCache>
            </c:strRef>
          </c:cat>
          <c:val>
            <c:numRef>
              <c:f>'Forecaster Results'!$C$60:$C$67</c:f>
              <c:numCache>
                <c:formatCode>General</c:formatCode>
                <c:ptCount val="8"/>
                <c:pt idx="0">
                  <c:v>7.14</c:v>
                </c:pt>
                <c:pt idx="1">
                  <c:v>4.82</c:v>
                </c:pt>
                <c:pt idx="2">
                  <c:v>5.15</c:v>
                </c:pt>
                <c:pt idx="3">
                  <c:v>9.26</c:v>
                </c:pt>
                <c:pt idx="4">
                  <c:v>4.7699999999999996</c:v>
                </c:pt>
                <c:pt idx="5">
                  <c:v>5.09</c:v>
                </c:pt>
                <c:pt idx="6">
                  <c:v>6.88</c:v>
                </c:pt>
                <c:pt idx="7">
                  <c:v>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E-4B0C-9908-C9EBB66E4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Symptom Keyword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Error 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Risk Class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'Risk Classifier Results'!$A$45:$A$48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'Risk Classifier Results'!$B$45:$B$48</c:f>
              <c:numCache>
                <c:formatCode>General</c:formatCode>
                <c:ptCount val="4"/>
                <c:pt idx="0">
                  <c:v>225</c:v>
                </c:pt>
                <c:pt idx="1">
                  <c:v>287</c:v>
                </c:pt>
                <c:pt idx="2">
                  <c:v>87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C-4796-8B0E-3420C8B1F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69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44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L67"/>
  <sheetViews>
    <sheetView showGridLines="0" tabSelected="1" topLeftCell="C1" zoomScale="45" zoomScaleNormal="39" workbookViewId="0">
      <pane ySplit="4" topLeftCell="A7" activePane="bottomLeft" state="frozen"/>
      <selection pane="bottomLeft" activeCell="D90" sqref="D90"/>
    </sheetView>
  </sheetViews>
  <sheetFormatPr defaultRowHeight="14.5" x14ac:dyDescent="0.35"/>
  <cols>
    <col min="1" max="1" width="36.7265625" customWidth="1"/>
    <col min="2" max="2" width="34.36328125" customWidth="1"/>
    <col min="3" max="3" width="33.6328125" customWidth="1"/>
    <col min="4" max="4" width="40.81640625" customWidth="1"/>
    <col min="5" max="5" width="30.54296875" customWidth="1"/>
    <col min="6" max="6" width="36.54296875" customWidth="1"/>
    <col min="7" max="7" width="47.26953125" customWidth="1"/>
    <col min="8" max="8" width="85.453125" customWidth="1"/>
    <col min="9" max="9" width="67.453125" customWidth="1"/>
    <col min="10" max="10" width="23.36328125" customWidth="1"/>
    <col min="11" max="11" width="22.08984375" style="62" customWidth="1"/>
  </cols>
  <sheetData>
    <row r="1" spans="1:12" ht="36" customHeight="1" x14ac:dyDescent="0.35">
      <c r="A1" s="78" t="s">
        <v>153</v>
      </c>
      <c r="B1" s="75"/>
      <c r="C1" s="75"/>
      <c r="D1" s="75"/>
      <c r="E1" s="75"/>
      <c r="F1" s="75"/>
      <c r="G1" s="75"/>
      <c r="H1" s="75"/>
      <c r="I1" s="75"/>
      <c r="J1" s="37"/>
      <c r="K1" s="59"/>
      <c r="L1" s="37"/>
    </row>
    <row r="2" spans="1:12" ht="20" customHeight="1" x14ac:dyDescent="0.35">
      <c r="A2" s="74" t="s">
        <v>0</v>
      </c>
      <c r="B2" s="75"/>
      <c r="C2" s="75"/>
      <c r="D2" s="75"/>
      <c r="E2" s="75"/>
      <c r="F2" s="75"/>
      <c r="G2" s="75"/>
      <c r="H2" s="75"/>
      <c r="I2" s="75"/>
      <c r="J2" s="37"/>
      <c r="K2" s="59"/>
      <c r="L2" s="37"/>
    </row>
    <row r="3" spans="1:12" ht="14" customHeight="1" x14ac:dyDescent="0.35">
      <c r="A3" s="80"/>
      <c r="B3" s="75"/>
      <c r="C3" s="75"/>
      <c r="D3" s="75"/>
      <c r="E3" s="75"/>
      <c r="F3" s="75"/>
      <c r="G3" s="75"/>
      <c r="H3" s="75"/>
      <c r="I3" s="75"/>
      <c r="J3" s="37"/>
      <c r="K3" s="59"/>
      <c r="L3" s="37"/>
    </row>
    <row r="4" spans="1:12" ht="28" customHeight="1" x14ac:dyDescent="0.35">
      <c r="A4" s="38" t="s">
        <v>1</v>
      </c>
      <c r="B4" s="38" t="s">
        <v>2</v>
      </c>
      <c r="C4" s="38" t="s">
        <v>3</v>
      </c>
      <c r="D4" s="38" t="s">
        <v>4</v>
      </c>
      <c r="E4" s="38" t="s">
        <v>5</v>
      </c>
      <c r="F4" s="38" t="s">
        <v>6</v>
      </c>
      <c r="G4" s="38" t="s">
        <v>7</v>
      </c>
      <c r="H4" s="38" t="s">
        <v>8</v>
      </c>
      <c r="I4" s="38" t="s">
        <v>143</v>
      </c>
      <c r="J4" s="38" t="s">
        <v>154</v>
      </c>
      <c r="K4" s="60" t="s">
        <v>155</v>
      </c>
      <c r="L4" s="37"/>
    </row>
    <row r="5" spans="1:12" x14ac:dyDescent="0.35">
      <c r="A5" s="39">
        <v>1</v>
      </c>
      <c r="B5" s="40" t="s">
        <v>9</v>
      </c>
      <c r="C5" s="39" t="s">
        <v>10</v>
      </c>
      <c r="D5" s="39" t="s">
        <v>11</v>
      </c>
      <c r="E5" s="41">
        <v>9.01</v>
      </c>
      <c r="F5" s="41">
        <v>4.96</v>
      </c>
      <c r="G5" s="42">
        <v>64.400000000000006</v>
      </c>
      <c r="H5" s="42">
        <v>66.400000000000006</v>
      </c>
      <c r="I5" s="43" t="s">
        <v>144</v>
      </c>
      <c r="J5" s="58">
        <f>(G5+H5)/2</f>
        <v>65.400000000000006</v>
      </c>
      <c r="K5" s="61">
        <f>1-(F5/J5)</f>
        <v>0.92415902140672779</v>
      </c>
      <c r="L5" s="37"/>
    </row>
    <row r="6" spans="1:12" x14ac:dyDescent="0.35">
      <c r="A6" s="44">
        <v>2</v>
      </c>
      <c r="B6" s="40" t="s">
        <v>9</v>
      </c>
      <c r="C6" s="44" t="s">
        <v>12</v>
      </c>
      <c r="D6" s="44" t="s">
        <v>11</v>
      </c>
      <c r="E6" s="45">
        <v>7.56</v>
      </c>
      <c r="F6" s="45">
        <v>4.34</v>
      </c>
      <c r="G6" s="46">
        <v>51.6</v>
      </c>
      <c r="H6" s="46">
        <v>59.4</v>
      </c>
      <c r="I6" s="47" t="s">
        <v>145</v>
      </c>
      <c r="J6" s="58">
        <f t="shared" ref="J6:J52" si="0">(G6+H6)/2</f>
        <v>55.5</v>
      </c>
      <c r="K6" s="61">
        <f t="shared" ref="K6:K52" si="1">1-(F6/J6)</f>
        <v>0.92180180180180182</v>
      </c>
      <c r="L6" s="37"/>
    </row>
    <row r="7" spans="1:12" x14ac:dyDescent="0.35">
      <c r="A7" s="39">
        <v>3</v>
      </c>
      <c r="B7" s="40" t="s">
        <v>9</v>
      </c>
      <c r="C7" s="39" t="s">
        <v>13</v>
      </c>
      <c r="D7" s="39" t="s">
        <v>11</v>
      </c>
      <c r="E7" s="41">
        <v>8.73</v>
      </c>
      <c r="F7" s="41">
        <v>4.47</v>
      </c>
      <c r="G7" s="42">
        <v>88</v>
      </c>
      <c r="H7" s="42">
        <v>97.2</v>
      </c>
      <c r="I7" s="43" t="s">
        <v>146</v>
      </c>
      <c r="J7" s="58">
        <f t="shared" si="0"/>
        <v>92.6</v>
      </c>
      <c r="K7" s="61">
        <f t="shared" si="1"/>
        <v>0.95172786177105828</v>
      </c>
      <c r="L7" s="37"/>
    </row>
    <row r="8" spans="1:12" x14ac:dyDescent="0.35">
      <c r="A8" s="44">
        <v>4</v>
      </c>
      <c r="B8" s="40" t="s">
        <v>9</v>
      </c>
      <c r="C8" s="44" t="s">
        <v>14</v>
      </c>
      <c r="D8" s="44" t="s">
        <v>11</v>
      </c>
      <c r="E8" s="45">
        <v>13.9</v>
      </c>
      <c r="F8" s="45">
        <v>9.68</v>
      </c>
      <c r="G8" s="46">
        <v>39</v>
      </c>
      <c r="H8" s="46">
        <v>51.2</v>
      </c>
      <c r="I8" s="48" t="s">
        <v>149</v>
      </c>
      <c r="J8" s="58">
        <f t="shared" si="0"/>
        <v>45.1</v>
      </c>
      <c r="K8" s="61">
        <f t="shared" si="1"/>
        <v>0.78536585365853662</v>
      </c>
      <c r="L8" s="37"/>
    </row>
    <row r="9" spans="1:12" x14ac:dyDescent="0.35">
      <c r="A9" s="39">
        <v>5</v>
      </c>
      <c r="B9" s="40" t="s">
        <v>9</v>
      </c>
      <c r="C9" s="39" t="s">
        <v>15</v>
      </c>
      <c r="D9" s="39" t="s">
        <v>11</v>
      </c>
      <c r="E9" s="41">
        <v>6.86</v>
      </c>
      <c r="F9" s="41">
        <v>4.6900000000000004</v>
      </c>
      <c r="G9" s="42">
        <v>22.5</v>
      </c>
      <c r="H9" s="42">
        <v>45.8</v>
      </c>
      <c r="I9" s="47" t="s">
        <v>150</v>
      </c>
      <c r="J9" s="58">
        <f t="shared" si="0"/>
        <v>34.15</v>
      </c>
      <c r="K9" s="61">
        <f t="shared" si="1"/>
        <v>0.86266471449487558</v>
      </c>
      <c r="L9" s="37"/>
    </row>
    <row r="10" spans="1:12" x14ac:dyDescent="0.35">
      <c r="A10" s="44">
        <v>6</v>
      </c>
      <c r="B10" s="40" t="s">
        <v>9</v>
      </c>
      <c r="C10" s="44" t="s">
        <v>16</v>
      </c>
      <c r="D10" s="44" t="s">
        <v>11</v>
      </c>
      <c r="E10" s="45">
        <v>9.49</v>
      </c>
      <c r="F10" s="45">
        <v>4.3600000000000003</v>
      </c>
      <c r="G10" s="46">
        <v>91.9</v>
      </c>
      <c r="H10" s="46">
        <v>100</v>
      </c>
      <c r="I10" s="43" t="s">
        <v>144</v>
      </c>
      <c r="J10" s="58">
        <f t="shared" si="0"/>
        <v>95.95</v>
      </c>
      <c r="K10" s="61">
        <f t="shared" si="1"/>
        <v>0.95455966649296509</v>
      </c>
      <c r="L10" s="37"/>
    </row>
    <row r="11" spans="1:12" x14ac:dyDescent="0.35">
      <c r="A11" s="39">
        <v>7</v>
      </c>
      <c r="B11" s="40" t="s">
        <v>9</v>
      </c>
      <c r="C11" s="39" t="s">
        <v>17</v>
      </c>
      <c r="D11" s="39" t="s">
        <v>11</v>
      </c>
      <c r="E11" s="41">
        <v>9.7799999999999994</v>
      </c>
      <c r="F11" s="41">
        <v>4.58</v>
      </c>
      <c r="G11" s="42">
        <v>90.9</v>
      </c>
      <c r="H11" s="42">
        <v>96.4</v>
      </c>
      <c r="I11" s="43" t="s">
        <v>144</v>
      </c>
      <c r="J11" s="58">
        <f t="shared" si="0"/>
        <v>93.65</v>
      </c>
      <c r="K11" s="61">
        <f t="shared" si="1"/>
        <v>0.95109450080085423</v>
      </c>
      <c r="L11" s="37"/>
    </row>
    <row r="12" spans="1:12" x14ac:dyDescent="0.35">
      <c r="A12" s="44">
        <v>8</v>
      </c>
      <c r="B12" s="40" t="s">
        <v>9</v>
      </c>
      <c r="C12" s="44" t="s">
        <v>18</v>
      </c>
      <c r="D12" s="44" t="s">
        <v>11</v>
      </c>
      <c r="E12" s="45">
        <v>8.93</v>
      </c>
      <c r="F12" s="45">
        <v>4.76</v>
      </c>
      <c r="G12" s="46">
        <v>55.6</v>
      </c>
      <c r="H12" s="46">
        <v>67.599999999999994</v>
      </c>
      <c r="I12" s="43" t="s">
        <v>144</v>
      </c>
      <c r="J12" s="58">
        <f t="shared" si="0"/>
        <v>61.599999999999994</v>
      </c>
      <c r="K12" s="61">
        <f t="shared" si="1"/>
        <v>0.92272727272727273</v>
      </c>
      <c r="L12" s="37"/>
    </row>
    <row r="13" spans="1:12" x14ac:dyDescent="0.35">
      <c r="A13" s="39">
        <v>9</v>
      </c>
      <c r="B13" s="49" t="s">
        <v>19</v>
      </c>
      <c r="C13" s="39" t="s">
        <v>10</v>
      </c>
      <c r="D13" s="39" t="s">
        <v>11</v>
      </c>
      <c r="E13" s="41">
        <v>9.58</v>
      </c>
      <c r="F13" s="41">
        <v>6.19</v>
      </c>
      <c r="G13" s="42">
        <v>51.2</v>
      </c>
      <c r="H13" s="42">
        <v>56.6</v>
      </c>
      <c r="I13" s="43" t="s">
        <v>144</v>
      </c>
      <c r="J13" s="58">
        <f t="shared" si="0"/>
        <v>53.900000000000006</v>
      </c>
      <c r="K13" s="61">
        <f t="shared" si="1"/>
        <v>0.88515769944341371</v>
      </c>
      <c r="L13" s="37"/>
    </row>
    <row r="14" spans="1:12" x14ac:dyDescent="0.35">
      <c r="A14" s="44">
        <v>10</v>
      </c>
      <c r="B14" s="49" t="s">
        <v>19</v>
      </c>
      <c r="C14" s="44" t="s">
        <v>12</v>
      </c>
      <c r="D14" s="44" t="s">
        <v>11</v>
      </c>
      <c r="E14" s="45">
        <v>7.8</v>
      </c>
      <c r="F14" s="45">
        <v>4.25</v>
      </c>
      <c r="G14" s="46">
        <v>54.2</v>
      </c>
      <c r="H14" s="46">
        <v>57</v>
      </c>
      <c r="I14" s="47" t="s">
        <v>150</v>
      </c>
      <c r="J14" s="58">
        <f t="shared" si="0"/>
        <v>55.6</v>
      </c>
      <c r="K14" s="61">
        <f t="shared" si="1"/>
        <v>0.92356115107913672</v>
      </c>
      <c r="L14" s="37"/>
    </row>
    <row r="15" spans="1:12" x14ac:dyDescent="0.35">
      <c r="A15" s="39">
        <v>11</v>
      </c>
      <c r="B15" s="49" t="s">
        <v>19</v>
      </c>
      <c r="C15" s="39" t="s">
        <v>13</v>
      </c>
      <c r="D15" s="39" t="s">
        <v>11</v>
      </c>
      <c r="E15" s="41">
        <v>7.68</v>
      </c>
      <c r="F15" s="41">
        <v>4.28</v>
      </c>
      <c r="G15" s="42">
        <v>74.8</v>
      </c>
      <c r="H15" s="42">
        <v>88.8</v>
      </c>
      <c r="I15" s="47" t="s">
        <v>150</v>
      </c>
      <c r="J15" s="58">
        <f t="shared" si="0"/>
        <v>81.8</v>
      </c>
      <c r="K15" s="61">
        <f t="shared" si="1"/>
        <v>0.94767726161369192</v>
      </c>
      <c r="L15" s="37"/>
    </row>
    <row r="16" spans="1:12" x14ac:dyDescent="0.35">
      <c r="A16" s="44">
        <v>12</v>
      </c>
      <c r="B16" s="49" t="s">
        <v>19</v>
      </c>
      <c r="C16" s="44" t="s">
        <v>14</v>
      </c>
      <c r="D16" s="44" t="s">
        <v>11</v>
      </c>
      <c r="E16" s="45">
        <v>13.6</v>
      </c>
      <c r="F16" s="45">
        <v>9.42</v>
      </c>
      <c r="G16" s="46">
        <v>53.5</v>
      </c>
      <c r="H16" s="46">
        <v>63.7</v>
      </c>
      <c r="I16" s="48" t="s">
        <v>149</v>
      </c>
      <c r="J16" s="58">
        <f t="shared" si="0"/>
        <v>58.6</v>
      </c>
      <c r="K16" s="61">
        <f t="shared" si="1"/>
        <v>0.83924914675767925</v>
      </c>
      <c r="L16" s="37"/>
    </row>
    <row r="17" spans="1:12" x14ac:dyDescent="0.35">
      <c r="A17" s="39">
        <v>13</v>
      </c>
      <c r="B17" s="49" t="s">
        <v>19</v>
      </c>
      <c r="C17" s="39" t="s">
        <v>15</v>
      </c>
      <c r="D17" s="39" t="s">
        <v>11</v>
      </c>
      <c r="E17" s="41">
        <v>8.77</v>
      </c>
      <c r="F17" s="41">
        <v>4.9400000000000004</v>
      </c>
      <c r="G17" s="42">
        <v>20.6</v>
      </c>
      <c r="H17" s="42">
        <v>26.1</v>
      </c>
      <c r="I17" s="43" t="s">
        <v>144</v>
      </c>
      <c r="J17" s="58">
        <f t="shared" si="0"/>
        <v>23.35</v>
      </c>
      <c r="K17" s="61">
        <f t="shared" si="1"/>
        <v>0.78843683083511773</v>
      </c>
      <c r="L17" s="37"/>
    </row>
    <row r="18" spans="1:12" x14ac:dyDescent="0.35">
      <c r="A18" s="44">
        <v>14</v>
      </c>
      <c r="B18" s="49" t="s">
        <v>19</v>
      </c>
      <c r="C18" s="44" t="s">
        <v>16</v>
      </c>
      <c r="D18" s="44" t="s">
        <v>11</v>
      </c>
      <c r="E18" s="45">
        <v>10.85</v>
      </c>
      <c r="F18" s="45">
        <v>5.3</v>
      </c>
      <c r="G18" s="46">
        <v>91.8</v>
      </c>
      <c r="H18" s="46">
        <v>95.5</v>
      </c>
      <c r="I18" s="50" t="s">
        <v>148</v>
      </c>
      <c r="J18" s="58">
        <f t="shared" si="0"/>
        <v>93.65</v>
      </c>
      <c r="K18" s="61">
        <f t="shared" si="1"/>
        <v>0.94340630005339032</v>
      </c>
      <c r="L18" s="37"/>
    </row>
    <row r="19" spans="1:12" x14ac:dyDescent="0.35">
      <c r="A19" s="39">
        <v>15</v>
      </c>
      <c r="B19" s="49" t="s">
        <v>19</v>
      </c>
      <c r="C19" s="39" t="s">
        <v>17</v>
      </c>
      <c r="D19" s="39" t="s">
        <v>11</v>
      </c>
      <c r="E19" s="41">
        <v>9.09</v>
      </c>
      <c r="F19" s="41">
        <v>5.39</v>
      </c>
      <c r="G19" s="42">
        <v>77.099999999999994</v>
      </c>
      <c r="H19" s="42">
        <v>88.6</v>
      </c>
      <c r="I19" s="43" t="s">
        <v>144</v>
      </c>
      <c r="J19" s="58">
        <f t="shared" si="0"/>
        <v>82.85</v>
      </c>
      <c r="K19" s="61">
        <f t="shared" si="1"/>
        <v>0.9349426674713337</v>
      </c>
      <c r="L19" s="37"/>
    </row>
    <row r="20" spans="1:12" x14ac:dyDescent="0.35">
      <c r="A20" s="44">
        <v>16</v>
      </c>
      <c r="B20" s="49" t="s">
        <v>19</v>
      </c>
      <c r="C20" s="44" t="s">
        <v>18</v>
      </c>
      <c r="D20" s="44" t="s">
        <v>11</v>
      </c>
      <c r="E20" s="45">
        <v>9.6300000000000008</v>
      </c>
      <c r="F20" s="45">
        <v>4.8899999999999997</v>
      </c>
      <c r="G20" s="46">
        <v>58.2</v>
      </c>
      <c r="H20" s="46">
        <v>62.4</v>
      </c>
      <c r="I20" s="43" t="s">
        <v>144</v>
      </c>
      <c r="J20" s="58">
        <f t="shared" si="0"/>
        <v>60.3</v>
      </c>
      <c r="K20" s="61">
        <f t="shared" si="1"/>
        <v>0.91890547263681588</v>
      </c>
      <c r="L20" s="37"/>
    </row>
    <row r="21" spans="1:12" x14ac:dyDescent="0.35">
      <c r="A21" s="39">
        <v>17</v>
      </c>
      <c r="B21" s="51" t="s">
        <v>20</v>
      </c>
      <c r="C21" s="39" t="s">
        <v>10</v>
      </c>
      <c r="D21" s="39" t="s">
        <v>11</v>
      </c>
      <c r="E21" s="41">
        <v>10.83</v>
      </c>
      <c r="F21" s="41">
        <v>7.62</v>
      </c>
      <c r="G21" s="42">
        <v>53.8</v>
      </c>
      <c r="H21" s="42">
        <v>64.599999999999994</v>
      </c>
      <c r="I21" s="50" t="s">
        <v>148</v>
      </c>
      <c r="J21" s="58">
        <f t="shared" si="0"/>
        <v>59.199999999999996</v>
      </c>
      <c r="K21" s="61">
        <f t="shared" si="1"/>
        <v>0.87128378378378379</v>
      </c>
      <c r="L21" s="37"/>
    </row>
    <row r="22" spans="1:12" x14ac:dyDescent="0.35">
      <c r="A22" s="44">
        <v>18</v>
      </c>
      <c r="B22" s="51" t="s">
        <v>20</v>
      </c>
      <c r="C22" s="44" t="s">
        <v>12</v>
      </c>
      <c r="D22" s="44" t="s">
        <v>11</v>
      </c>
      <c r="E22" s="45">
        <v>8.2899999999999991</v>
      </c>
      <c r="F22" s="45">
        <v>5.0199999999999996</v>
      </c>
      <c r="G22" s="46">
        <v>52.5</v>
      </c>
      <c r="H22" s="46">
        <v>59.8</v>
      </c>
      <c r="I22" s="43" t="s">
        <v>144</v>
      </c>
      <c r="J22" s="58">
        <f t="shared" si="0"/>
        <v>56.15</v>
      </c>
      <c r="K22" s="61">
        <f t="shared" si="1"/>
        <v>0.91059661620658949</v>
      </c>
      <c r="L22" s="37"/>
    </row>
    <row r="23" spans="1:12" x14ac:dyDescent="0.35">
      <c r="A23" s="39">
        <v>19</v>
      </c>
      <c r="B23" s="51" t="s">
        <v>20</v>
      </c>
      <c r="C23" s="39" t="s">
        <v>13</v>
      </c>
      <c r="D23" s="39" t="s">
        <v>11</v>
      </c>
      <c r="E23" s="41">
        <v>8.11</v>
      </c>
      <c r="F23" s="41">
        <v>4.71</v>
      </c>
      <c r="G23" s="42">
        <v>80.5</v>
      </c>
      <c r="H23" s="42">
        <v>84.7</v>
      </c>
      <c r="I23" s="43" t="s">
        <v>144</v>
      </c>
      <c r="J23" s="58">
        <f t="shared" si="0"/>
        <v>82.6</v>
      </c>
      <c r="K23" s="61">
        <f t="shared" si="1"/>
        <v>0.94297820823244549</v>
      </c>
      <c r="L23" s="37"/>
    </row>
    <row r="24" spans="1:12" x14ac:dyDescent="0.35">
      <c r="A24" s="44">
        <v>20</v>
      </c>
      <c r="B24" s="51" t="s">
        <v>20</v>
      </c>
      <c r="C24" s="44" t="s">
        <v>14</v>
      </c>
      <c r="D24" s="44" t="s">
        <v>11</v>
      </c>
      <c r="E24" s="45">
        <v>13.12</v>
      </c>
      <c r="F24" s="45">
        <v>9.08</v>
      </c>
      <c r="G24" s="46">
        <v>55.7</v>
      </c>
      <c r="H24" s="46">
        <v>63.8</v>
      </c>
      <c r="I24" s="48" t="s">
        <v>149</v>
      </c>
      <c r="J24" s="58">
        <f t="shared" si="0"/>
        <v>59.75</v>
      </c>
      <c r="K24" s="61">
        <f t="shared" si="1"/>
        <v>0.84803347280334729</v>
      </c>
      <c r="L24" s="37"/>
    </row>
    <row r="25" spans="1:12" x14ac:dyDescent="0.35">
      <c r="A25" s="39">
        <v>21</v>
      </c>
      <c r="B25" s="51" t="s">
        <v>20</v>
      </c>
      <c r="C25" s="39" t="s">
        <v>15</v>
      </c>
      <c r="D25" s="39" t="s">
        <v>11</v>
      </c>
      <c r="E25" s="41">
        <v>6.01</v>
      </c>
      <c r="F25" s="41">
        <v>3.72</v>
      </c>
      <c r="G25" s="42">
        <v>12.5</v>
      </c>
      <c r="H25" s="42">
        <v>30.6</v>
      </c>
      <c r="I25" s="47" t="s">
        <v>150</v>
      </c>
      <c r="J25" s="58">
        <f t="shared" si="0"/>
        <v>21.55</v>
      </c>
      <c r="K25" s="61">
        <f t="shared" si="1"/>
        <v>0.82737819025522041</v>
      </c>
      <c r="L25" s="37"/>
    </row>
    <row r="26" spans="1:12" x14ac:dyDescent="0.35">
      <c r="A26" s="44">
        <v>22</v>
      </c>
      <c r="B26" s="51" t="s">
        <v>20</v>
      </c>
      <c r="C26" s="44" t="s">
        <v>16</v>
      </c>
      <c r="D26" s="44" t="s">
        <v>11</v>
      </c>
      <c r="E26" s="45">
        <v>10.83</v>
      </c>
      <c r="F26" s="45">
        <v>5.63</v>
      </c>
      <c r="G26" s="46">
        <v>90.7</v>
      </c>
      <c r="H26" s="46">
        <v>95</v>
      </c>
      <c r="I26" s="50" t="s">
        <v>148</v>
      </c>
      <c r="J26" s="58">
        <f t="shared" si="0"/>
        <v>92.85</v>
      </c>
      <c r="K26" s="61">
        <f t="shared" si="1"/>
        <v>0.93936456650511579</v>
      </c>
      <c r="L26" s="37"/>
    </row>
    <row r="27" spans="1:12" x14ac:dyDescent="0.35">
      <c r="A27" s="39">
        <v>23</v>
      </c>
      <c r="B27" s="51" t="s">
        <v>20</v>
      </c>
      <c r="C27" s="39" t="s">
        <v>17</v>
      </c>
      <c r="D27" s="39" t="s">
        <v>11</v>
      </c>
      <c r="E27" s="41">
        <v>10.34</v>
      </c>
      <c r="F27" s="41">
        <v>6.97</v>
      </c>
      <c r="G27" s="42">
        <v>77.8</v>
      </c>
      <c r="H27" s="42">
        <v>89.3</v>
      </c>
      <c r="I27" s="50" t="s">
        <v>148</v>
      </c>
      <c r="J27" s="58">
        <f t="shared" si="0"/>
        <v>83.55</v>
      </c>
      <c r="K27" s="61">
        <f t="shared" si="1"/>
        <v>0.91657690005984438</v>
      </c>
      <c r="L27" s="37"/>
    </row>
    <row r="28" spans="1:12" x14ac:dyDescent="0.35">
      <c r="A28" s="44">
        <v>24</v>
      </c>
      <c r="B28" s="51" t="s">
        <v>20</v>
      </c>
      <c r="C28" s="44" t="s">
        <v>18</v>
      </c>
      <c r="D28" s="44" t="s">
        <v>11</v>
      </c>
      <c r="E28" s="45">
        <v>11.53</v>
      </c>
      <c r="F28" s="45">
        <v>6.89</v>
      </c>
      <c r="G28" s="46">
        <v>61.6</v>
      </c>
      <c r="H28" s="46">
        <v>69.8</v>
      </c>
      <c r="I28" s="50" t="s">
        <v>148</v>
      </c>
      <c r="J28" s="58">
        <f t="shared" si="0"/>
        <v>65.7</v>
      </c>
      <c r="K28" s="61">
        <f t="shared" si="1"/>
        <v>0.89512937595129372</v>
      </c>
      <c r="L28" s="37"/>
    </row>
    <row r="29" spans="1:12" x14ac:dyDescent="0.35">
      <c r="A29" s="39">
        <v>25</v>
      </c>
      <c r="B29" s="52" t="s">
        <v>21</v>
      </c>
      <c r="C29" s="39" t="s">
        <v>10</v>
      </c>
      <c r="D29" s="39" t="s">
        <v>11</v>
      </c>
      <c r="E29" s="41">
        <v>11.74</v>
      </c>
      <c r="F29" s="41">
        <v>8.1199999999999992</v>
      </c>
      <c r="G29" s="42">
        <v>58.5</v>
      </c>
      <c r="H29" s="42">
        <v>62.9</v>
      </c>
      <c r="I29" s="50" t="s">
        <v>148</v>
      </c>
      <c r="J29" s="58">
        <f t="shared" si="0"/>
        <v>60.7</v>
      </c>
      <c r="K29" s="61">
        <f t="shared" si="1"/>
        <v>0.86622734761120268</v>
      </c>
      <c r="L29" s="37"/>
    </row>
    <row r="30" spans="1:12" x14ac:dyDescent="0.35">
      <c r="A30" s="44">
        <v>26</v>
      </c>
      <c r="B30" s="52" t="s">
        <v>21</v>
      </c>
      <c r="C30" s="44" t="s">
        <v>12</v>
      </c>
      <c r="D30" s="44" t="s">
        <v>11</v>
      </c>
      <c r="E30" s="45">
        <v>8.6300000000000008</v>
      </c>
      <c r="F30" s="45">
        <v>5.38</v>
      </c>
      <c r="G30" s="46">
        <v>60</v>
      </c>
      <c r="H30" s="46">
        <v>67.900000000000006</v>
      </c>
      <c r="I30" s="43" t="s">
        <v>144</v>
      </c>
      <c r="J30" s="58">
        <f t="shared" si="0"/>
        <v>63.95</v>
      </c>
      <c r="K30" s="61">
        <f t="shared" si="1"/>
        <v>0.91587177482408133</v>
      </c>
      <c r="L30" s="37"/>
    </row>
    <row r="31" spans="1:12" x14ac:dyDescent="0.35">
      <c r="A31" s="39">
        <v>27</v>
      </c>
      <c r="B31" s="52" t="s">
        <v>21</v>
      </c>
      <c r="C31" s="39" t="s">
        <v>13</v>
      </c>
      <c r="D31" s="39" t="s">
        <v>11</v>
      </c>
      <c r="E31" s="41">
        <v>9.3000000000000007</v>
      </c>
      <c r="F31" s="41">
        <v>5.51</v>
      </c>
      <c r="G31" s="42">
        <v>72.5</v>
      </c>
      <c r="H31" s="42">
        <v>82.9</v>
      </c>
      <c r="I31" s="43" t="s">
        <v>144</v>
      </c>
      <c r="J31" s="58">
        <f t="shared" si="0"/>
        <v>77.7</v>
      </c>
      <c r="K31" s="61">
        <f t="shared" si="1"/>
        <v>0.92908622908622907</v>
      </c>
      <c r="L31" s="37"/>
    </row>
    <row r="32" spans="1:12" x14ac:dyDescent="0.35">
      <c r="A32" s="44">
        <v>28</v>
      </c>
      <c r="B32" s="52" t="s">
        <v>21</v>
      </c>
      <c r="C32" s="44" t="s">
        <v>14</v>
      </c>
      <c r="D32" s="44" t="s">
        <v>11</v>
      </c>
      <c r="E32" s="45">
        <v>13.98</v>
      </c>
      <c r="F32" s="45">
        <v>9.94</v>
      </c>
      <c r="G32" s="46">
        <v>50.4</v>
      </c>
      <c r="H32" s="46">
        <v>65</v>
      </c>
      <c r="I32" s="48" t="s">
        <v>149</v>
      </c>
      <c r="J32" s="58">
        <f t="shared" si="0"/>
        <v>57.7</v>
      </c>
      <c r="K32" s="61">
        <f t="shared" si="1"/>
        <v>0.8277296360485269</v>
      </c>
      <c r="L32" s="37"/>
    </row>
    <row r="33" spans="1:12" x14ac:dyDescent="0.35">
      <c r="A33" s="39">
        <v>29</v>
      </c>
      <c r="B33" s="52" t="s">
        <v>21</v>
      </c>
      <c r="C33" s="39" t="s">
        <v>15</v>
      </c>
      <c r="D33" s="39" t="s">
        <v>11</v>
      </c>
      <c r="E33" s="41">
        <v>8.09</v>
      </c>
      <c r="F33" s="41">
        <v>4.92</v>
      </c>
      <c r="G33" s="42">
        <v>17.899999999999999</v>
      </c>
      <c r="H33" s="42">
        <v>28.4</v>
      </c>
      <c r="I33" s="43" t="s">
        <v>144</v>
      </c>
      <c r="J33" s="58">
        <f t="shared" si="0"/>
        <v>23.15</v>
      </c>
      <c r="K33" s="61">
        <f t="shared" si="1"/>
        <v>0.78747300215982718</v>
      </c>
      <c r="L33" s="37"/>
    </row>
    <row r="34" spans="1:12" x14ac:dyDescent="0.35">
      <c r="A34" s="44">
        <v>30</v>
      </c>
      <c r="B34" s="52" t="s">
        <v>21</v>
      </c>
      <c r="C34" s="44" t="s">
        <v>16</v>
      </c>
      <c r="D34" s="44" t="s">
        <v>11</v>
      </c>
      <c r="E34" s="45">
        <v>9.8699999999999992</v>
      </c>
      <c r="F34" s="45">
        <v>4.76</v>
      </c>
      <c r="G34" s="46">
        <v>86.6</v>
      </c>
      <c r="H34" s="46">
        <v>90.6</v>
      </c>
      <c r="I34" s="43" t="s">
        <v>144</v>
      </c>
      <c r="J34" s="58">
        <f t="shared" si="0"/>
        <v>88.6</v>
      </c>
      <c r="K34" s="61">
        <f t="shared" si="1"/>
        <v>0.94627539503386005</v>
      </c>
      <c r="L34" s="37"/>
    </row>
    <row r="35" spans="1:12" x14ac:dyDescent="0.35">
      <c r="A35" s="39">
        <v>31</v>
      </c>
      <c r="B35" s="52" t="s">
        <v>21</v>
      </c>
      <c r="C35" s="39" t="s">
        <v>17</v>
      </c>
      <c r="D35" s="39" t="s">
        <v>11</v>
      </c>
      <c r="E35" s="41">
        <v>12.16</v>
      </c>
      <c r="F35" s="41">
        <v>7.44</v>
      </c>
      <c r="G35" s="42">
        <v>85.2</v>
      </c>
      <c r="H35" s="42">
        <v>90.2</v>
      </c>
      <c r="I35" s="48" t="s">
        <v>149</v>
      </c>
      <c r="J35" s="58">
        <f t="shared" si="0"/>
        <v>87.7</v>
      </c>
      <c r="K35" s="61">
        <f t="shared" si="1"/>
        <v>0.91516533637400233</v>
      </c>
      <c r="L35" s="37"/>
    </row>
    <row r="36" spans="1:12" x14ac:dyDescent="0.35">
      <c r="A36" s="44">
        <v>32</v>
      </c>
      <c r="B36" s="52" t="s">
        <v>21</v>
      </c>
      <c r="C36" s="44" t="s">
        <v>18</v>
      </c>
      <c r="D36" s="44" t="s">
        <v>11</v>
      </c>
      <c r="E36" s="45">
        <v>10.18</v>
      </c>
      <c r="F36" s="45">
        <v>6.85</v>
      </c>
      <c r="G36" s="46">
        <v>53.3</v>
      </c>
      <c r="H36" s="46">
        <v>56.8</v>
      </c>
      <c r="I36" s="50" t="s">
        <v>147</v>
      </c>
      <c r="J36" s="58">
        <f t="shared" si="0"/>
        <v>55.05</v>
      </c>
      <c r="K36" s="61">
        <f t="shared" si="1"/>
        <v>0.8755676657584015</v>
      </c>
      <c r="L36" s="37"/>
    </row>
    <row r="37" spans="1:12" x14ac:dyDescent="0.35">
      <c r="A37" s="39">
        <v>33</v>
      </c>
      <c r="B37" s="53" t="s">
        <v>22</v>
      </c>
      <c r="C37" s="39" t="s">
        <v>10</v>
      </c>
      <c r="D37" s="39" t="s">
        <v>11</v>
      </c>
      <c r="E37" s="41">
        <v>11.84</v>
      </c>
      <c r="F37" s="41">
        <v>7.97</v>
      </c>
      <c r="G37" s="42">
        <v>63.3</v>
      </c>
      <c r="H37" s="42">
        <v>69.2</v>
      </c>
      <c r="I37" s="50" t="s">
        <v>148</v>
      </c>
      <c r="J37" s="58">
        <f t="shared" si="0"/>
        <v>66.25</v>
      </c>
      <c r="K37" s="61">
        <f t="shared" si="1"/>
        <v>0.87969811320754721</v>
      </c>
      <c r="L37" s="37"/>
    </row>
    <row r="38" spans="1:12" x14ac:dyDescent="0.35">
      <c r="A38" s="44">
        <v>34</v>
      </c>
      <c r="B38" s="53" t="s">
        <v>22</v>
      </c>
      <c r="C38" s="44" t="s">
        <v>12</v>
      </c>
      <c r="D38" s="44" t="s">
        <v>11</v>
      </c>
      <c r="E38" s="45">
        <v>8.9600000000000009</v>
      </c>
      <c r="F38" s="45">
        <v>5.12</v>
      </c>
      <c r="G38" s="46">
        <v>55.9</v>
      </c>
      <c r="H38" s="46">
        <v>57.4</v>
      </c>
      <c r="I38" s="43" t="s">
        <v>144</v>
      </c>
      <c r="J38" s="58">
        <f t="shared" si="0"/>
        <v>56.65</v>
      </c>
      <c r="K38" s="61">
        <f t="shared" si="1"/>
        <v>0.90962047661076784</v>
      </c>
      <c r="L38" s="37"/>
    </row>
    <row r="39" spans="1:12" x14ac:dyDescent="0.35">
      <c r="A39" s="39">
        <v>35</v>
      </c>
      <c r="B39" s="53" t="s">
        <v>22</v>
      </c>
      <c r="C39" s="39" t="s">
        <v>13</v>
      </c>
      <c r="D39" s="39" t="s">
        <v>11</v>
      </c>
      <c r="E39" s="41">
        <v>10.14</v>
      </c>
      <c r="F39" s="41">
        <v>6.03</v>
      </c>
      <c r="G39" s="42">
        <v>77.5</v>
      </c>
      <c r="H39" s="42">
        <v>87.8</v>
      </c>
      <c r="I39" s="50" t="s">
        <v>148</v>
      </c>
      <c r="J39" s="58">
        <f t="shared" si="0"/>
        <v>82.65</v>
      </c>
      <c r="K39" s="61">
        <f t="shared" si="1"/>
        <v>0.9270417422867514</v>
      </c>
      <c r="L39" s="37"/>
    </row>
    <row r="40" spans="1:12" x14ac:dyDescent="0.35">
      <c r="A40" s="44">
        <v>36</v>
      </c>
      <c r="B40" s="53" t="s">
        <v>22</v>
      </c>
      <c r="C40" s="44" t="s">
        <v>14</v>
      </c>
      <c r="D40" s="44" t="s">
        <v>11</v>
      </c>
      <c r="E40" s="45">
        <v>11.34</v>
      </c>
      <c r="F40" s="45">
        <v>7.94</v>
      </c>
      <c r="G40" s="46">
        <v>45.3</v>
      </c>
      <c r="H40" s="46">
        <v>54.5</v>
      </c>
      <c r="I40" s="50" t="s">
        <v>148</v>
      </c>
      <c r="J40" s="58">
        <f t="shared" si="0"/>
        <v>49.9</v>
      </c>
      <c r="K40" s="61">
        <f t="shared" si="1"/>
        <v>0.84088176352705413</v>
      </c>
      <c r="L40" s="37"/>
    </row>
    <row r="41" spans="1:12" x14ac:dyDescent="0.35">
      <c r="A41" s="39">
        <v>37</v>
      </c>
      <c r="B41" s="53" t="s">
        <v>22</v>
      </c>
      <c r="C41" s="39" t="s">
        <v>15</v>
      </c>
      <c r="D41" s="39" t="s">
        <v>11</v>
      </c>
      <c r="E41" s="41">
        <v>7.96</v>
      </c>
      <c r="F41" s="41">
        <v>5.15</v>
      </c>
      <c r="G41" s="42">
        <v>24</v>
      </c>
      <c r="H41" s="42">
        <v>32.700000000000003</v>
      </c>
      <c r="I41" s="47" t="s">
        <v>150</v>
      </c>
      <c r="J41" s="58">
        <f t="shared" si="0"/>
        <v>28.35</v>
      </c>
      <c r="K41" s="61">
        <f t="shared" si="1"/>
        <v>0.81834215167548496</v>
      </c>
      <c r="L41" s="37"/>
    </row>
    <row r="42" spans="1:12" x14ac:dyDescent="0.35">
      <c r="A42" s="44">
        <v>38</v>
      </c>
      <c r="B42" s="53" t="s">
        <v>22</v>
      </c>
      <c r="C42" s="44" t="s">
        <v>16</v>
      </c>
      <c r="D42" s="44" t="s">
        <v>11</v>
      </c>
      <c r="E42" s="45">
        <v>10.46</v>
      </c>
      <c r="F42" s="45">
        <v>4.93</v>
      </c>
      <c r="G42" s="46">
        <v>92</v>
      </c>
      <c r="H42" s="46">
        <v>94.5</v>
      </c>
      <c r="I42" s="50" t="s">
        <v>148</v>
      </c>
      <c r="J42" s="58">
        <f t="shared" si="0"/>
        <v>93.25</v>
      </c>
      <c r="K42" s="61">
        <f t="shared" si="1"/>
        <v>0.94713136729222525</v>
      </c>
      <c r="L42" s="37"/>
    </row>
    <row r="43" spans="1:12" x14ac:dyDescent="0.35">
      <c r="A43" s="39">
        <v>39</v>
      </c>
      <c r="B43" s="53" t="s">
        <v>22</v>
      </c>
      <c r="C43" s="39" t="s">
        <v>17</v>
      </c>
      <c r="D43" s="39" t="s">
        <v>11</v>
      </c>
      <c r="E43" s="41">
        <v>12.65</v>
      </c>
      <c r="F43" s="41">
        <v>8.1300000000000008</v>
      </c>
      <c r="G43" s="42">
        <v>79.400000000000006</v>
      </c>
      <c r="H43" s="42">
        <v>87.3</v>
      </c>
      <c r="I43" s="48" t="s">
        <v>149</v>
      </c>
      <c r="J43" s="58">
        <f t="shared" si="0"/>
        <v>83.35</v>
      </c>
      <c r="K43" s="61">
        <f t="shared" si="1"/>
        <v>0.90245950809838027</v>
      </c>
      <c r="L43" s="37"/>
    </row>
    <row r="44" spans="1:12" x14ac:dyDescent="0.35">
      <c r="A44" s="44">
        <v>40</v>
      </c>
      <c r="B44" s="53" t="s">
        <v>22</v>
      </c>
      <c r="C44" s="44" t="s">
        <v>18</v>
      </c>
      <c r="D44" s="44" t="s">
        <v>11</v>
      </c>
      <c r="E44" s="45">
        <v>10.96</v>
      </c>
      <c r="F44" s="45">
        <v>6.9</v>
      </c>
      <c r="G44" s="46">
        <v>65.5</v>
      </c>
      <c r="H44" s="46">
        <v>78.099999999999994</v>
      </c>
      <c r="I44" s="50" t="s">
        <v>148</v>
      </c>
      <c r="J44" s="58">
        <f t="shared" si="0"/>
        <v>71.8</v>
      </c>
      <c r="K44" s="61">
        <f t="shared" si="1"/>
        <v>0.90389972144846797</v>
      </c>
      <c r="L44" s="37"/>
    </row>
    <row r="45" spans="1:12" x14ac:dyDescent="0.35">
      <c r="A45" s="39">
        <v>41</v>
      </c>
      <c r="B45" s="54" t="s">
        <v>23</v>
      </c>
      <c r="C45" s="39" t="s">
        <v>10</v>
      </c>
      <c r="D45" s="39" t="s">
        <v>11</v>
      </c>
      <c r="E45" s="41">
        <v>11.37</v>
      </c>
      <c r="F45" s="41">
        <v>8.01</v>
      </c>
      <c r="G45" s="42">
        <v>48.7</v>
      </c>
      <c r="H45" s="42">
        <v>54.2</v>
      </c>
      <c r="I45" s="50" t="s">
        <v>148</v>
      </c>
      <c r="J45" s="58">
        <f t="shared" si="0"/>
        <v>51.45</v>
      </c>
      <c r="K45" s="61">
        <f t="shared" si="1"/>
        <v>0.84431486880466478</v>
      </c>
      <c r="L45" s="37"/>
    </row>
    <row r="46" spans="1:12" x14ac:dyDescent="0.35">
      <c r="A46" s="44">
        <v>42</v>
      </c>
      <c r="B46" s="54" t="s">
        <v>23</v>
      </c>
      <c r="C46" s="44" t="s">
        <v>12</v>
      </c>
      <c r="D46" s="44" t="s">
        <v>11</v>
      </c>
      <c r="E46" s="45">
        <v>7.81</v>
      </c>
      <c r="F46" s="45">
        <v>4.79</v>
      </c>
      <c r="G46" s="46">
        <v>51.1</v>
      </c>
      <c r="H46" s="46">
        <v>54.7</v>
      </c>
      <c r="I46" s="47" t="s">
        <v>150</v>
      </c>
      <c r="J46" s="58">
        <f t="shared" si="0"/>
        <v>52.900000000000006</v>
      </c>
      <c r="K46" s="61">
        <f t="shared" si="1"/>
        <v>0.90945179584120983</v>
      </c>
      <c r="L46" s="37"/>
    </row>
    <row r="47" spans="1:12" x14ac:dyDescent="0.35">
      <c r="A47" s="39">
        <v>43</v>
      </c>
      <c r="B47" s="54" t="s">
        <v>23</v>
      </c>
      <c r="C47" s="39" t="s">
        <v>13</v>
      </c>
      <c r="D47" s="39" t="s">
        <v>11</v>
      </c>
      <c r="E47" s="41">
        <v>9.26</v>
      </c>
      <c r="F47" s="41">
        <v>5.9</v>
      </c>
      <c r="G47" s="42">
        <v>74.8</v>
      </c>
      <c r="H47" s="42">
        <v>96.8</v>
      </c>
      <c r="I47" s="43" t="s">
        <v>144</v>
      </c>
      <c r="J47" s="58">
        <f t="shared" si="0"/>
        <v>85.8</v>
      </c>
      <c r="K47" s="61">
        <f t="shared" si="1"/>
        <v>0.93123543123543118</v>
      </c>
      <c r="L47" s="37"/>
    </row>
    <row r="48" spans="1:12" x14ac:dyDescent="0.35">
      <c r="A48" s="44">
        <v>44</v>
      </c>
      <c r="B48" s="54" t="s">
        <v>23</v>
      </c>
      <c r="C48" s="44" t="s">
        <v>14</v>
      </c>
      <c r="D48" s="44" t="s">
        <v>11</v>
      </c>
      <c r="E48" s="45">
        <v>12.82</v>
      </c>
      <c r="F48" s="45">
        <v>9.51</v>
      </c>
      <c r="G48" s="46">
        <v>28.3</v>
      </c>
      <c r="H48" s="46">
        <v>40.299999999999997</v>
      </c>
      <c r="I48" s="48" t="s">
        <v>149</v>
      </c>
      <c r="J48" s="58">
        <f t="shared" si="0"/>
        <v>34.299999999999997</v>
      </c>
      <c r="K48" s="61">
        <f t="shared" si="1"/>
        <v>0.7227405247813411</v>
      </c>
      <c r="L48" s="37"/>
    </row>
    <row r="49" spans="1:12" x14ac:dyDescent="0.35">
      <c r="A49" s="39">
        <v>45</v>
      </c>
      <c r="B49" s="54" t="s">
        <v>23</v>
      </c>
      <c r="C49" s="39" t="s">
        <v>15</v>
      </c>
      <c r="D49" s="39" t="s">
        <v>11</v>
      </c>
      <c r="E49" s="41">
        <v>7.43</v>
      </c>
      <c r="F49" s="41">
        <v>5.21</v>
      </c>
      <c r="G49" s="42">
        <v>21.8</v>
      </c>
      <c r="H49" s="42">
        <v>33.6</v>
      </c>
      <c r="I49" s="47" t="s">
        <v>150</v>
      </c>
      <c r="J49" s="58">
        <f t="shared" si="0"/>
        <v>27.700000000000003</v>
      </c>
      <c r="K49" s="61">
        <f t="shared" si="1"/>
        <v>0.81191335740072201</v>
      </c>
      <c r="L49" s="37"/>
    </row>
    <row r="50" spans="1:12" x14ac:dyDescent="0.35">
      <c r="A50" s="44">
        <v>46</v>
      </c>
      <c r="B50" s="54" t="s">
        <v>23</v>
      </c>
      <c r="C50" s="44" t="s">
        <v>16</v>
      </c>
      <c r="D50" s="44" t="s">
        <v>11</v>
      </c>
      <c r="E50" s="45">
        <v>10.34</v>
      </c>
      <c r="F50" s="45">
        <v>5.56</v>
      </c>
      <c r="G50" s="46">
        <v>89.8</v>
      </c>
      <c r="H50" s="46">
        <v>95.9</v>
      </c>
      <c r="I50" s="50" t="s">
        <v>148</v>
      </c>
      <c r="J50" s="58">
        <f t="shared" si="0"/>
        <v>92.85</v>
      </c>
      <c r="K50" s="61">
        <f t="shared" si="1"/>
        <v>0.9401184706515886</v>
      </c>
      <c r="L50" s="37"/>
    </row>
    <row r="51" spans="1:12" x14ac:dyDescent="0.35">
      <c r="A51" s="39">
        <v>47</v>
      </c>
      <c r="B51" s="54" t="s">
        <v>23</v>
      </c>
      <c r="C51" s="39" t="s">
        <v>17</v>
      </c>
      <c r="D51" s="39" t="s">
        <v>11</v>
      </c>
      <c r="E51" s="41">
        <v>12.28</v>
      </c>
      <c r="F51" s="41">
        <v>8.77</v>
      </c>
      <c r="G51" s="42">
        <v>72.400000000000006</v>
      </c>
      <c r="H51" s="42">
        <v>85.2</v>
      </c>
      <c r="I51" s="48" t="s">
        <v>149</v>
      </c>
      <c r="J51" s="58">
        <f t="shared" si="0"/>
        <v>78.800000000000011</v>
      </c>
      <c r="K51" s="61">
        <f t="shared" si="1"/>
        <v>0.88870558375634523</v>
      </c>
      <c r="L51" s="37"/>
    </row>
    <row r="52" spans="1:12" x14ac:dyDescent="0.35">
      <c r="A52" s="44">
        <v>48</v>
      </c>
      <c r="B52" s="54" t="s">
        <v>23</v>
      </c>
      <c r="C52" s="44" t="s">
        <v>18</v>
      </c>
      <c r="D52" s="44" t="s">
        <v>11</v>
      </c>
      <c r="E52" s="45">
        <v>10.48</v>
      </c>
      <c r="F52" s="45">
        <v>6.82</v>
      </c>
      <c r="G52" s="46">
        <v>64.2</v>
      </c>
      <c r="H52" s="46">
        <v>69.5</v>
      </c>
      <c r="I52" s="50" t="s">
        <v>148</v>
      </c>
      <c r="J52" s="58">
        <f t="shared" si="0"/>
        <v>66.849999999999994</v>
      </c>
      <c r="K52" s="61">
        <f t="shared" si="1"/>
        <v>0.89798055347793571</v>
      </c>
      <c r="L52" s="37"/>
    </row>
    <row r="53" spans="1:12" x14ac:dyDescent="0.35">
      <c r="A53" s="76" t="s">
        <v>24</v>
      </c>
      <c r="B53" s="75"/>
      <c r="C53" s="75"/>
      <c r="D53" s="75"/>
      <c r="E53" s="56">
        <f>AVERAGE(E5:E52)</f>
        <v>10.00770833333333</v>
      </c>
      <c r="F53" s="56">
        <f>AVERAGE(F5:F52)</f>
        <v>6.162499999999997</v>
      </c>
      <c r="G53" s="57">
        <f>AVERAGE(G5:G52)</f>
        <v>60.600000000000016</v>
      </c>
      <c r="H53" s="57">
        <f>AVERAGE(H5:H52)</f>
        <v>69.097916666666663</v>
      </c>
      <c r="I53" s="55" t="s">
        <v>25</v>
      </c>
      <c r="J53" s="55">
        <f>AVERAGE(J5:J52)</f>
        <v>64.848958333333343</v>
      </c>
      <c r="K53" s="63">
        <f>AVERAGE(K5:K52)</f>
        <v>0.89053562820488263</v>
      </c>
      <c r="L53" s="37"/>
    </row>
    <row r="54" spans="1:12" x14ac:dyDescent="0.3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59"/>
      <c r="L54" s="37"/>
    </row>
    <row r="55" spans="1:12" x14ac:dyDescent="0.35">
      <c r="A55" s="79" t="s">
        <v>26</v>
      </c>
      <c r="B55" s="75"/>
      <c r="C55" s="75"/>
      <c r="D55" s="75"/>
      <c r="E55" s="77" t="s">
        <v>27</v>
      </c>
      <c r="F55" s="75"/>
      <c r="G55" s="75"/>
      <c r="H55" s="75"/>
      <c r="I55" s="75"/>
      <c r="J55" s="37"/>
      <c r="K55" s="59"/>
      <c r="L55" s="37"/>
    </row>
    <row r="56" spans="1:12" x14ac:dyDescent="0.35">
      <c r="A56" s="49" t="s">
        <v>20</v>
      </c>
      <c r="B56" s="49" t="s">
        <v>15</v>
      </c>
      <c r="C56" s="49">
        <v>6.01</v>
      </c>
      <c r="D56" s="49">
        <v>3.72</v>
      </c>
      <c r="E56" s="53" t="s">
        <v>21</v>
      </c>
      <c r="F56" s="53" t="s">
        <v>14</v>
      </c>
      <c r="G56" s="53">
        <v>13.98</v>
      </c>
      <c r="H56" s="53">
        <v>9.94</v>
      </c>
      <c r="I56" s="37"/>
      <c r="J56" s="37"/>
      <c r="K56" s="59"/>
      <c r="L56" s="37"/>
    </row>
    <row r="57" spans="1:12" x14ac:dyDescent="0.3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59"/>
      <c r="L57" s="37"/>
    </row>
    <row r="59" spans="1:12" x14ac:dyDescent="0.35">
      <c r="A59" s="12" t="s">
        <v>3</v>
      </c>
      <c r="B59" s="12" t="s">
        <v>28</v>
      </c>
      <c r="C59" s="12" t="s">
        <v>29</v>
      </c>
    </row>
    <row r="60" spans="1:12" x14ac:dyDescent="0.35">
      <c r="A60" t="s">
        <v>10</v>
      </c>
      <c r="B60">
        <v>10.73</v>
      </c>
      <c r="C60">
        <v>7.14</v>
      </c>
    </row>
    <row r="61" spans="1:12" x14ac:dyDescent="0.35">
      <c r="A61" t="s">
        <v>12</v>
      </c>
      <c r="B61">
        <v>8.17</v>
      </c>
      <c r="C61">
        <v>4.82</v>
      </c>
    </row>
    <row r="62" spans="1:12" x14ac:dyDescent="0.35">
      <c r="A62" t="s">
        <v>13</v>
      </c>
      <c r="B62">
        <v>8.8699999999999992</v>
      </c>
      <c r="C62">
        <v>5.15</v>
      </c>
    </row>
    <row r="63" spans="1:12" x14ac:dyDescent="0.35">
      <c r="A63" t="s">
        <v>14</v>
      </c>
      <c r="B63">
        <v>13.13</v>
      </c>
      <c r="C63">
        <v>9.26</v>
      </c>
    </row>
    <row r="64" spans="1:12" x14ac:dyDescent="0.35">
      <c r="A64" t="s">
        <v>15</v>
      </c>
      <c r="B64">
        <v>7.52</v>
      </c>
      <c r="C64">
        <v>4.7699999999999996</v>
      </c>
    </row>
    <row r="65" spans="1:3" x14ac:dyDescent="0.35">
      <c r="A65" t="s">
        <v>16</v>
      </c>
      <c r="B65">
        <v>10.31</v>
      </c>
      <c r="C65">
        <v>5.09</v>
      </c>
    </row>
    <row r="66" spans="1:3" x14ac:dyDescent="0.35">
      <c r="A66" t="s">
        <v>17</v>
      </c>
      <c r="B66">
        <v>11.05</v>
      </c>
      <c r="C66">
        <v>6.88</v>
      </c>
    </row>
    <row r="67" spans="1:3" x14ac:dyDescent="0.35">
      <c r="A67" t="s">
        <v>18</v>
      </c>
      <c r="B67">
        <v>10.29</v>
      </c>
      <c r="C67">
        <v>6.18</v>
      </c>
    </row>
  </sheetData>
  <mergeCells count="6">
    <mergeCell ref="A2:I2"/>
    <mergeCell ref="A53:D53"/>
    <mergeCell ref="E55:I55"/>
    <mergeCell ref="A1:I1"/>
    <mergeCell ref="A55:D55"/>
    <mergeCell ref="A3:I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showGridLines="0" topLeftCell="A29" zoomScale="82" workbookViewId="0">
      <selection activeCell="A37" sqref="A37:H42"/>
    </sheetView>
  </sheetViews>
  <sheetFormatPr defaultRowHeight="14.5" x14ac:dyDescent="0.35"/>
  <cols>
    <col min="1" max="1" width="22" customWidth="1"/>
    <col min="2" max="8" width="14" customWidth="1"/>
  </cols>
  <sheetData>
    <row r="1" spans="1:8" ht="36" customHeight="1" x14ac:dyDescent="0.35">
      <c r="A1" s="64" t="s">
        <v>30</v>
      </c>
      <c r="B1" s="65"/>
      <c r="C1" s="65"/>
      <c r="D1" s="65"/>
      <c r="E1" s="65"/>
      <c r="F1" s="65"/>
      <c r="G1" s="65"/>
      <c r="H1" s="65"/>
    </row>
    <row r="2" spans="1:8" ht="20" customHeight="1" x14ac:dyDescent="0.35">
      <c r="A2" s="70" t="s">
        <v>31</v>
      </c>
      <c r="B2" s="65"/>
      <c r="C2" s="65"/>
      <c r="D2" s="65"/>
      <c r="E2" s="65"/>
      <c r="F2" s="65"/>
      <c r="G2" s="65"/>
      <c r="H2" s="65"/>
    </row>
    <row r="3" spans="1:8" x14ac:dyDescent="0.35">
      <c r="A3" s="66"/>
      <c r="B3" s="65"/>
      <c r="C3" s="65"/>
      <c r="D3" s="65"/>
      <c r="E3" s="65"/>
      <c r="F3" s="65"/>
      <c r="G3" s="65"/>
      <c r="H3" s="65"/>
    </row>
    <row r="4" spans="1:8" x14ac:dyDescent="0.35">
      <c r="A4" s="69" t="s">
        <v>32</v>
      </c>
      <c r="B4" s="65"/>
      <c r="C4" s="65"/>
      <c r="D4" s="65"/>
      <c r="E4" s="65"/>
      <c r="F4" s="65"/>
      <c r="G4" s="65"/>
      <c r="H4" s="65"/>
    </row>
    <row r="5" spans="1:8" x14ac:dyDescent="0.35">
      <c r="A5" s="81" t="s">
        <v>33</v>
      </c>
      <c r="B5" s="65"/>
      <c r="C5" s="99" t="s">
        <v>34</v>
      </c>
      <c r="D5" s="65"/>
      <c r="E5" s="100" t="s">
        <v>35</v>
      </c>
      <c r="F5" s="65"/>
      <c r="G5" s="82" t="s">
        <v>36</v>
      </c>
      <c r="H5" s="65"/>
    </row>
    <row r="6" spans="1:8" x14ac:dyDescent="0.35">
      <c r="A6" s="91" t="s">
        <v>37</v>
      </c>
      <c r="B6" s="65"/>
      <c r="C6" s="98" t="s">
        <v>38</v>
      </c>
      <c r="D6" s="65"/>
      <c r="E6" s="101" t="s">
        <v>39</v>
      </c>
      <c r="F6" s="65"/>
      <c r="G6" s="96" t="s">
        <v>40</v>
      </c>
      <c r="H6" s="65"/>
    </row>
    <row r="7" spans="1:8" x14ac:dyDescent="0.35">
      <c r="A7" s="94" t="s">
        <v>41</v>
      </c>
      <c r="B7" s="65"/>
      <c r="C7" s="86" t="s">
        <v>42</v>
      </c>
      <c r="D7" s="65"/>
      <c r="E7" s="87" t="s">
        <v>43</v>
      </c>
      <c r="F7" s="65"/>
      <c r="G7" s="95" t="s">
        <v>43</v>
      </c>
      <c r="H7" s="65"/>
    </row>
    <row r="8" spans="1:8" x14ac:dyDescent="0.35">
      <c r="A8" s="84" t="s">
        <v>44</v>
      </c>
      <c r="B8" s="65"/>
      <c r="C8" s="85" t="s">
        <v>45</v>
      </c>
      <c r="D8" s="65"/>
    </row>
    <row r="9" spans="1:8" x14ac:dyDescent="0.35">
      <c r="A9" s="89" t="s">
        <v>46</v>
      </c>
      <c r="B9" s="65"/>
      <c r="C9" s="97" t="s">
        <v>47</v>
      </c>
      <c r="D9" s="65"/>
    </row>
    <row r="10" spans="1:8" x14ac:dyDescent="0.35">
      <c r="A10" s="88" t="s">
        <v>48</v>
      </c>
      <c r="B10" s="65"/>
      <c r="C10" s="93" t="s">
        <v>49</v>
      </c>
      <c r="D10" s="65"/>
    </row>
    <row r="12" spans="1:8" x14ac:dyDescent="0.35">
      <c r="A12" s="69" t="s">
        <v>50</v>
      </c>
      <c r="B12" s="65"/>
      <c r="C12" s="65"/>
      <c r="D12" s="65"/>
      <c r="E12" s="65"/>
      <c r="F12" s="65"/>
      <c r="G12" s="65"/>
      <c r="H12" s="65"/>
    </row>
    <row r="13" spans="1:8" ht="28" x14ac:dyDescent="0.35">
      <c r="A13" s="17" t="s">
        <v>51</v>
      </c>
      <c r="B13" s="17" t="s">
        <v>52</v>
      </c>
      <c r="C13" s="17" t="s">
        <v>53</v>
      </c>
      <c r="D13" s="17" t="s">
        <v>54</v>
      </c>
      <c r="E13" s="17" t="s">
        <v>55</v>
      </c>
      <c r="F13" s="17" t="s">
        <v>56</v>
      </c>
      <c r="G13" s="17" t="s">
        <v>57</v>
      </c>
      <c r="H13" s="17" t="s">
        <v>58</v>
      </c>
    </row>
    <row r="14" spans="1:8" ht="23" x14ac:dyDescent="0.35">
      <c r="A14" s="6" t="s">
        <v>59</v>
      </c>
      <c r="B14" s="4">
        <v>0</v>
      </c>
      <c r="C14" s="18">
        <v>225</v>
      </c>
      <c r="D14" s="4" t="s">
        <v>60</v>
      </c>
      <c r="E14" s="4" t="s">
        <v>61</v>
      </c>
      <c r="F14" s="13" t="s">
        <v>62</v>
      </c>
      <c r="G14" s="4" t="s">
        <v>63</v>
      </c>
      <c r="H14" s="19" t="s">
        <v>64</v>
      </c>
    </row>
    <row r="15" spans="1:8" ht="23" x14ac:dyDescent="0.35">
      <c r="A15" s="2" t="s">
        <v>65</v>
      </c>
      <c r="B15" s="1">
        <v>1</v>
      </c>
      <c r="C15" s="20">
        <v>287</v>
      </c>
      <c r="D15" s="1" t="s">
        <v>66</v>
      </c>
      <c r="E15" s="1" t="s">
        <v>61</v>
      </c>
      <c r="F15" s="14" t="s">
        <v>67</v>
      </c>
      <c r="G15" s="1" t="s">
        <v>68</v>
      </c>
      <c r="H15" s="21" t="s">
        <v>69</v>
      </c>
    </row>
    <row r="16" spans="1:8" x14ac:dyDescent="0.35">
      <c r="A16" s="8" t="s">
        <v>61</v>
      </c>
      <c r="B16" s="4">
        <v>2</v>
      </c>
      <c r="C16" s="22">
        <v>87</v>
      </c>
      <c r="D16" s="4" t="s">
        <v>70</v>
      </c>
      <c r="E16" s="4" t="s">
        <v>71</v>
      </c>
      <c r="F16" s="15" t="s">
        <v>72</v>
      </c>
      <c r="G16" s="4" t="s">
        <v>73</v>
      </c>
      <c r="H16" s="19" t="s">
        <v>74</v>
      </c>
    </row>
    <row r="17" spans="1:8" x14ac:dyDescent="0.35">
      <c r="A17" s="9" t="s">
        <v>75</v>
      </c>
      <c r="B17" s="1">
        <v>3</v>
      </c>
      <c r="C17" s="23">
        <v>25</v>
      </c>
      <c r="D17" s="1" t="s">
        <v>76</v>
      </c>
      <c r="E17" s="1" t="s">
        <v>59</v>
      </c>
      <c r="F17" s="16" t="s">
        <v>77</v>
      </c>
      <c r="G17" s="1" t="s">
        <v>78</v>
      </c>
      <c r="H17" s="21" t="s">
        <v>79</v>
      </c>
    </row>
    <row r="18" spans="1:8" x14ac:dyDescent="0.35">
      <c r="A18" s="11" t="s">
        <v>80</v>
      </c>
      <c r="B18" s="11"/>
      <c r="C18" s="11">
        <f>SUM(C14:C17)</f>
        <v>624</v>
      </c>
      <c r="D18" s="11" t="s">
        <v>81</v>
      </c>
      <c r="E18" s="11"/>
      <c r="F18" s="11"/>
      <c r="G18" s="11"/>
      <c r="H18" s="11" t="s">
        <v>82</v>
      </c>
    </row>
    <row r="20" spans="1:8" x14ac:dyDescent="0.35">
      <c r="A20" s="69" t="s">
        <v>83</v>
      </c>
      <c r="B20" s="65"/>
      <c r="C20" s="65"/>
      <c r="D20" s="65"/>
      <c r="E20" s="65"/>
      <c r="F20" s="65"/>
      <c r="G20" s="65"/>
      <c r="H20" s="65"/>
    </row>
    <row r="21" spans="1:8" x14ac:dyDescent="0.35">
      <c r="A21" s="17" t="s">
        <v>84</v>
      </c>
      <c r="B21" s="17" t="s">
        <v>85</v>
      </c>
      <c r="C21" s="90" t="s">
        <v>58</v>
      </c>
      <c r="D21" s="65"/>
      <c r="E21" s="65"/>
      <c r="F21" s="17"/>
      <c r="G21" s="17"/>
      <c r="H21" s="17" t="s">
        <v>86</v>
      </c>
    </row>
    <row r="22" spans="1:8" x14ac:dyDescent="0.35">
      <c r="A22" s="24" t="s">
        <v>87</v>
      </c>
      <c r="B22" s="4" t="s">
        <v>88</v>
      </c>
      <c r="C22" s="92" t="s">
        <v>89</v>
      </c>
      <c r="D22" s="65"/>
      <c r="E22" s="65"/>
      <c r="F22" s="65"/>
      <c r="G22" s="65"/>
      <c r="H22" s="25" t="s">
        <v>61</v>
      </c>
    </row>
    <row r="23" spans="1:8" x14ac:dyDescent="0.35">
      <c r="A23" s="26" t="s">
        <v>90</v>
      </c>
      <c r="B23" s="1" t="s">
        <v>88</v>
      </c>
      <c r="C23" s="83" t="s">
        <v>91</v>
      </c>
      <c r="D23" s="65"/>
      <c r="E23" s="65"/>
      <c r="F23" s="65"/>
      <c r="G23" s="65"/>
      <c r="H23" s="27" t="s">
        <v>65</v>
      </c>
    </row>
    <row r="24" spans="1:8" x14ac:dyDescent="0.35">
      <c r="A24" s="24" t="s">
        <v>92</v>
      </c>
      <c r="B24" s="4" t="s">
        <v>88</v>
      </c>
      <c r="C24" s="92" t="s">
        <v>93</v>
      </c>
      <c r="D24" s="65"/>
      <c r="E24" s="65"/>
      <c r="F24" s="65"/>
      <c r="G24" s="65"/>
      <c r="H24" s="25" t="s">
        <v>61</v>
      </c>
    </row>
    <row r="25" spans="1:8" x14ac:dyDescent="0.35">
      <c r="A25" s="26" t="s">
        <v>94</v>
      </c>
      <c r="B25" s="1" t="s">
        <v>88</v>
      </c>
      <c r="C25" s="83" t="s">
        <v>95</v>
      </c>
      <c r="D25" s="65"/>
      <c r="E25" s="65"/>
      <c r="F25" s="65"/>
      <c r="G25" s="65"/>
      <c r="H25" s="28" t="s">
        <v>59</v>
      </c>
    </row>
    <row r="26" spans="1:8" x14ac:dyDescent="0.35">
      <c r="A26" s="24" t="s">
        <v>96</v>
      </c>
      <c r="B26" s="4" t="s">
        <v>97</v>
      </c>
      <c r="C26" s="92" t="s">
        <v>98</v>
      </c>
      <c r="D26" s="65"/>
      <c r="E26" s="65"/>
      <c r="F26" s="65"/>
      <c r="G26" s="65"/>
      <c r="H26" s="25" t="s">
        <v>61</v>
      </c>
    </row>
    <row r="27" spans="1:8" x14ac:dyDescent="0.35">
      <c r="A27" s="26" t="s">
        <v>99</v>
      </c>
      <c r="B27" s="1" t="s">
        <v>97</v>
      </c>
      <c r="C27" s="83" t="s">
        <v>100</v>
      </c>
      <c r="D27" s="65"/>
      <c r="E27" s="65"/>
      <c r="F27" s="65"/>
      <c r="G27" s="65"/>
      <c r="H27" s="27" t="s">
        <v>65</v>
      </c>
    </row>
    <row r="28" spans="1:8" x14ac:dyDescent="0.35">
      <c r="A28" s="24" t="s">
        <v>101</v>
      </c>
      <c r="B28" s="4" t="s">
        <v>102</v>
      </c>
      <c r="C28" s="92" t="s">
        <v>103</v>
      </c>
      <c r="D28" s="65"/>
      <c r="E28" s="65"/>
      <c r="F28" s="65"/>
      <c r="G28" s="65"/>
      <c r="H28" s="25" t="s">
        <v>61</v>
      </c>
    </row>
    <row r="29" spans="1:8" x14ac:dyDescent="0.35">
      <c r="A29" s="26" t="s">
        <v>104</v>
      </c>
      <c r="B29" s="1" t="s">
        <v>102</v>
      </c>
      <c r="C29" s="83" t="s">
        <v>105</v>
      </c>
      <c r="D29" s="65"/>
      <c r="E29" s="65"/>
      <c r="F29" s="65"/>
      <c r="G29" s="65"/>
      <c r="H29" s="25" t="s">
        <v>61</v>
      </c>
    </row>
    <row r="30" spans="1:8" x14ac:dyDescent="0.35">
      <c r="A30" s="24" t="s">
        <v>106</v>
      </c>
      <c r="B30" s="4" t="s">
        <v>102</v>
      </c>
      <c r="C30" s="92" t="s">
        <v>107</v>
      </c>
      <c r="D30" s="65"/>
      <c r="E30" s="65"/>
      <c r="F30" s="65"/>
      <c r="G30" s="65"/>
      <c r="H30" s="27" t="s">
        <v>65</v>
      </c>
    </row>
    <row r="31" spans="1:8" x14ac:dyDescent="0.35">
      <c r="A31" s="26" t="s">
        <v>108</v>
      </c>
      <c r="B31" s="1" t="s">
        <v>109</v>
      </c>
      <c r="C31" s="83" t="s">
        <v>110</v>
      </c>
      <c r="D31" s="65"/>
      <c r="E31" s="65"/>
      <c r="F31" s="65"/>
      <c r="G31" s="65"/>
      <c r="H31" s="25" t="s">
        <v>61</v>
      </c>
    </row>
    <row r="32" spans="1:8" x14ac:dyDescent="0.35">
      <c r="A32" s="24" t="s">
        <v>111</v>
      </c>
      <c r="B32" s="4" t="s">
        <v>109</v>
      </c>
      <c r="C32" s="92" t="s">
        <v>112</v>
      </c>
      <c r="D32" s="65"/>
      <c r="E32" s="65"/>
      <c r="F32" s="65"/>
      <c r="G32" s="65"/>
      <c r="H32" s="25" t="s">
        <v>61</v>
      </c>
    </row>
    <row r="33" spans="1:8" x14ac:dyDescent="0.35">
      <c r="A33" s="26" t="s">
        <v>113</v>
      </c>
      <c r="B33" s="1" t="s">
        <v>109</v>
      </c>
      <c r="C33" s="83" t="s">
        <v>114</v>
      </c>
      <c r="D33" s="65"/>
      <c r="E33" s="65"/>
      <c r="F33" s="65"/>
      <c r="G33" s="65"/>
      <c r="H33" s="27" t="s">
        <v>65</v>
      </c>
    </row>
    <row r="34" spans="1:8" x14ac:dyDescent="0.35">
      <c r="A34" s="24" t="s">
        <v>115</v>
      </c>
      <c r="B34" s="4" t="s">
        <v>116</v>
      </c>
      <c r="C34" s="92" t="s">
        <v>117</v>
      </c>
      <c r="D34" s="65"/>
      <c r="E34" s="65"/>
      <c r="F34" s="65"/>
      <c r="G34" s="65"/>
      <c r="H34" s="27" t="s">
        <v>65</v>
      </c>
    </row>
    <row r="36" spans="1:8" x14ac:dyDescent="0.35">
      <c r="A36" s="69" t="s">
        <v>151</v>
      </c>
      <c r="B36" s="65"/>
      <c r="C36" s="65"/>
      <c r="D36" s="65"/>
      <c r="E36" s="65"/>
      <c r="F36" s="65"/>
      <c r="G36" s="65"/>
      <c r="H36" s="65"/>
    </row>
    <row r="37" spans="1:8" x14ac:dyDescent="0.35">
      <c r="A37" s="17" t="s">
        <v>118</v>
      </c>
      <c r="B37" s="17" t="s">
        <v>119</v>
      </c>
      <c r="C37" s="17" t="s">
        <v>51</v>
      </c>
      <c r="D37" s="17" t="s">
        <v>120</v>
      </c>
      <c r="E37" s="17" t="s">
        <v>121</v>
      </c>
      <c r="F37" s="17" t="s">
        <v>122</v>
      </c>
      <c r="G37" s="17" t="s">
        <v>123</v>
      </c>
      <c r="H37" s="17" t="s">
        <v>124</v>
      </c>
    </row>
    <row r="38" spans="1:8" x14ac:dyDescent="0.35">
      <c r="A38" s="4">
        <v>1</v>
      </c>
      <c r="B38" s="5">
        <v>12.61</v>
      </c>
      <c r="C38" s="6" t="s">
        <v>59</v>
      </c>
      <c r="D38" s="29">
        <v>0.99709999999999999</v>
      </c>
      <c r="E38" s="30">
        <v>0.997</v>
      </c>
      <c r="F38" s="30">
        <v>2E-3</v>
      </c>
      <c r="G38" s="30">
        <v>1E-3</v>
      </c>
      <c r="H38" s="30">
        <v>0</v>
      </c>
    </row>
    <row r="39" spans="1:8" x14ac:dyDescent="0.35">
      <c r="A39" s="1">
        <v>2</v>
      </c>
      <c r="B39" s="3">
        <v>37.520000000000003</v>
      </c>
      <c r="C39" s="2" t="s">
        <v>65</v>
      </c>
      <c r="D39" s="31">
        <v>0.99780000000000002</v>
      </c>
      <c r="E39" s="32">
        <v>1E-3</v>
      </c>
      <c r="F39" s="32">
        <v>0.998</v>
      </c>
      <c r="G39" s="32">
        <v>1E-3</v>
      </c>
      <c r="H39" s="32">
        <v>0</v>
      </c>
    </row>
    <row r="40" spans="1:8" x14ac:dyDescent="0.35">
      <c r="A40" s="4">
        <v>3</v>
      </c>
      <c r="B40" s="5">
        <v>37.520000000000003</v>
      </c>
      <c r="C40" s="2" t="s">
        <v>65</v>
      </c>
      <c r="D40" s="29">
        <v>0.99780000000000002</v>
      </c>
      <c r="E40" s="30">
        <v>1E-3</v>
      </c>
      <c r="F40" s="30">
        <v>0.998</v>
      </c>
      <c r="G40" s="30">
        <v>1E-3</v>
      </c>
      <c r="H40" s="30">
        <v>0</v>
      </c>
    </row>
    <row r="41" spans="1:8" x14ac:dyDescent="0.35">
      <c r="A41" s="1">
        <v>4</v>
      </c>
      <c r="B41" s="3">
        <v>37.520000000000003</v>
      </c>
      <c r="C41" s="2" t="s">
        <v>65</v>
      </c>
      <c r="D41" s="31">
        <v>0.99780000000000002</v>
      </c>
      <c r="E41" s="32">
        <v>1E-3</v>
      </c>
      <c r="F41" s="32">
        <v>0.998</v>
      </c>
      <c r="G41" s="32">
        <v>1E-3</v>
      </c>
      <c r="H41" s="32">
        <v>0</v>
      </c>
    </row>
    <row r="42" spans="1:8" x14ac:dyDescent="0.35">
      <c r="A42" s="4">
        <v>5</v>
      </c>
      <c r="B42" s="5">
        <v>12.61</v>
      </c>
      <c r="C42" s="6" t="s">
        <v>59</v>
      </c>
      <c r="D42" s="29">
        <v>0.99719999999999998</v>
      </c>
      <c r="E42" s="30">
        <v>0.997</v>
      </c>
      <c r="F42" s="30">
        <v>2E-3</v>
      </c>
      <c r="G42" s="30">
        <v>1E-3</v>
      </c>
      <c r="H42" s="30">
        <v>0</v>
      </c>
    </row>
    <row r="45" spans="1:8" x14ac:dyDescent="0.35">
      <c r="A45" t="s">
        <v>59</v>
      </c>
      <c r="B45">
        <v>225</v>
      </c>
    </row>
    <row r="46" spans="1:8" x14ac:dyDescent="0.35">
      <c r="A46" t="s">
        <v>65</v>
      </c>
      <c r="B46">
        <v>287</v>
      </c>
    </row>
    <row r="47" spans="1:8" x14ac:dyDescent="0.35">
      <c r="A47" t="s">
        <v>61</v>
      </c>
      <c r="B47">
        <v>87</v>
      </c>
    </row>
    <row r="48" spans="1:8" x14ac:dyDescent="0.35">
      <c r="A48" t="s">
        <v>75</v>
      </c>
      <c r="B48">
        <v>25</v>
      </c>
    </row>
  </sheetData>
  <mergeCells count="39">
    <mergeCell ref="C30:G30"/>
    <mergeCell ref="C6:D6"/>
    <mergeCell ref="C34:G34"/>
    <mergeCell ref="C24:G24"/>
    <mergeCell ref="C5:D5"/>
    <mergeCell ref="C33:G33"/>
    <mergeCell ref="E5:F5"/>
    <mergeCell ref="E6:F6"/>
    <mergeCell ref="C32:G32"/>
    <mergeCell ref="C28:G28"/>
    <mergeCell ref="A36:H36"/>
    <mergeCell ref="A1:H1"/>
    <mergeCell ref="C21:E21"/>
    <mergeCell ref="A6:B6"/>
    <mergeCell ref="C26:G26"/>
    <mergeCell ref="C29:G29"/>
    <mergeCell ref="C10:D10"/>
    <mergeCell ref="A7:B7"/>
    <mergeCell ref="G7:H7"/>
    <mergeCell ref="C25:G25"/>
    <mergeCell ref="G6:H6"/>
    <mergeCell ref="C9:D9"/>
    <mergeCell ref="C31:G31"/>
    <mergeCell ref="C22:G22"/>
    <mergeCell ref="A12:H12"/>
    <mergeCell ref="A3:H3"/>
    <mergeCell ref="A2:H2"/>
    <mergeCell ref="A5:B5"/>
    <mergeCell ref="G5:H5"/>
    <mergeCell ref="C27:G27"/>
    <mergeCell ref="C23:G23"/>
    <mergeCell ref="A8:B8"/>
    <mergeCell ref="C8:D8"/>
    <mergeCell ref="A4:H4"/>
    <mergeCell ref="C7:D7"/>
    <mergeCell ref="E7:F7"/>
    <mergeCell ref="A20:H20"/>
    <mergeCell ref="A10:B10"/>
    <mergeCell ref="A9:B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showGridLines="0" topLeftCell="A11" workbookViewId="0">
      <selection activeCell="J25" sqref="J25"/>
    </sheetView>
  </sheetViews>
  <sheetFormatPr defaultRowHeight="14.5" x14ac:dyDescent="0.35"/>
  <cols>
    <col min="1" max="1" width="20" customWidth="1"/>
    <col min="2" max="8" width="15" customWidth="1"/>
  </cols>
  <sheetData>
    <row r="1" spans="1:8" x14ac:dyDescent="0.35">
      <c r="A1" s="64" t="s">
        <v>152</v>
      </c>
      <c r="B1" s="65"/>
      <c r="C1" s="65"/>
      <c r="D1" s="65"/>
      <c r="E1" s="65"/>
      <c r="F1" s="65"/>
      <c r="G1" s="65"/>
      <c r="H1" s="65"/>
    </row>
    <row r="2" spans="1:8" x14ac:dyDescent="0.35">
      <c r="A2" s="70" t="s">
        <v>125</v>
      </c>
      <c r="B2" s="65"/>
      <c r="C2" s="65"/>
      <c r="D2" s="65"/>
      <c r="E2" s="65"/>
      <c r="F2" s="65"/>
      <c r="G2" s="65"/>
      <c r="H2" s="65"/>
    </row>
    <row r="3" spans="1:8" x14ac:dyDescent="0.35">
      <c r="A3" s="66"/>
      <c r="B3" s="65"/>
      <c r="C3" s="65"/>
      <c r="D3" s="65"/>
      <c r="E3" s="65"/>
      <c r="F3" s="65"/>
      <c r="G3" s="65"/>
      <c r="H3" s="65"/>
    </row>
    <row r="4" spans="1:8" x14ac:dyDescent="0.35">
      <c r="A4" s="68" t="s">
        <v>126</v>
      </c>
      <c r="B4" s="65"/>
      <c r="C4" s="71" t="s">
        <v>127</v>
      </c>
      <c r="D4" s="65"/>
      <c r="E4" s="67" t="s">
        <v>128</v>
      </c>
      <c r="F4" s="65"/>
      <c r="G4" s="71" t="s">
        <v>129</v>
      </c>
      <c r="H4" s="65"/>
    </row>
    <row r="5" spans="1:8" x14ac:dyDescent="0.35">
      <c r="A5" s="65"/>
      <c r="B5" s="65"/>
      <c r="C5" s="65"/>
      <c r="D5" s="65"/>
      <c r="E5" s="65"/>
      <c r="F5" s="65"/>
      <c r="G5" s="65"/>
      <c r="H5" s="65"/>
    </row>
    <row r="6" spans="1:8" ht="103" customHeight="1" x14ac:dyDescent="0.35">
      <c r="A6" s="65"/>
      <c r="B6" s="65"/>
      <c r="C6" s="65"/>
      <c r="D6" s="65"/>
      <c r="E6" s="65"/>
      <c r="F6" s="65"/>
      <c r="G6" s="65"/>
      <c r="H6" s="65"/>
    </row>
    <row r="8" spans="1:8" x14ac:dyDescent="0.35">
      <c r="A8" s="73" t="s">
        <v>130</v>
      </c>
      <c r="B8" s="65"/>
      <c r="C8" s="68" t="s">
        <v>131</v>
      </c>
      <c r="D8" s="65"/>
      <c r="E8" s="72" t="s">
        <v>132</v>
      </c>
      <c r="F8" s="65"/>
      <c r="G8" s="67" t="s">
        <v>133</v>
      </c>
      <c r="H8" s="65"/>
    </row>
    <row r="9" spans="1:8" x14ac:dyDescent="0.35">
      <c r="A9" s="65"/>
      <c r="B9" s="65"/>
      <c r="C9" s="65"/>
      <c r="D9" s="65"/>
      <c r="E9" s="65"/>
      <c r="F9" s="65"/>
      <c r="G9" s="65"/>
      <c r="H9" s="65"/>
    </row>
    <row r="10" spans="1:8" ht="115" customHeight="1" x14ac:dyDescent="0.35">
      <c r="A10" s="65"/>
      <c r="B10" s="65"/>
      <c r="C10" s="65"/>
      <c r="D10" s="65"/>
      <c r="E10" s="65"/>
      <c r="F10" s="65"/>
      <c r="G10" s="65"/>
      <c r="H10" s="65"/>
    </row>
    <row r="14" spans="1:8" x14ac:dyDescent="0.35">
      <c r="A14" s="69" t="s">
        <v>134</v>
      </c>
      <c r="B14" s="65"/>
      <c r="C14" s="65"/>
      <c r="D14" s="65"/>
      <c r="E14" s="65"/>
      <c r="F14" s="65"/>
      <c r="G14" s="65"/>
      <c r="H14" s="65"/>
    </row>
    <row r="15" spans="1:8" ht="28" x14ac:dyDescent="0.35">
      <c r="A15" s="17" t="s">
        <v>2</v>
      </c>
      <c r="B15" s="17" t="s">
        <v>135</v>
      </c>
      <c r="C15" s="17" t="s">
        <v>28</v>
      </c>
      <c r="D15" s="17" t="s">
        <v>29</v>
      </c>
      <c r="E15" s="17" t="s">
        <v>136</v>
      </c>
      <c r="F15" s="17" t="s">
        <v>137</v>
      </c>
      <c r="G15" s="17" t="s">
        <v>138</v>
      </c>
      <c r="H15" s="17" t="s">
        <v>139</v>
      </c>
    </row>
    <row r="16" spans="1:8" x14ac:dyDescent="0.35">
      <c r="A16" s="2" t="s">
        <v>9</v>
      </c>
      <c r="B16" s="4">
        <v>8</v>
      </c>
      <c r="C16" s="5">
        <v>9.2799999999999994</v>
      </c>
      <c r="D16" s="5">
        <v>5.23</v>
      </c>
      <c r="E16" s="33" t="s">
        <v>15</v>
      </c>
      <c r="F16" s="34">
        <v>6.86</v>
      </c>
      <c r="G16" s="35" t="s">
        <v>14</v>
      </c>
      <c r="H16" s="36">
        <v>13.9</v>
      </c>
    </row>
    <row r="17" spans="1:8" x14ac:dyDescent="0.35">
      <c r="A17" s="6" t="s">
        <v>19</v>
      </c>
      <c r="B17" s="1">
        <v>8</v>
      </c>
      <c r="C17" s="3">
        <v>9.6199999999999992</v>
      </c>
      <c r="D17" s="3">
        <v>5.58</v>
      </c>
      <c r="E17" s="33" t="s">
        <v>13</v>
      </c>
      <c r="F17" s="34">
        <v>7.68</v>
      </c>
      <c r="G17" s="35" t="s">
        <v>14</v>
      </c>
      <c r="H17" s="36">
        <v>13.6</v>
      </c>
    </row>
    <row r="18" spans="1:8" x14ac:dyDescent="0.35">
      <c r="A18" s="7" t="s">
        <v>20</v>
      </c>
      <c r="B18" s="4">
        <v>8</v>
      </c>
      <c r="C18" s="5">
        <v>9.8800000000000008</v>
      </c>
      <c r="D18" s="5">
        <v>6.21</v>
      </c>
      <c r="E18" s="33" t="s">
        <v>15</v>
      </c>
      <c r="F18" s="34">
        <v>6.01</v>
      </c>
      <c r="G18" s="35" t="s">
        <v>14</v>
      </c>
      <c r="H18" s="36">
        <v>13.12</v>
      </c>
    </row>
    <row r="19" spans="1:8" x14ac:dyDescent="0.35">
      <c r="A19" s="8" t="s">
        <v>21</v>
      </c>
      <c r="B19" s="1">
        <v>8</v>
      </c>
      <c r="C19" s="3">
        <v>10.49</v>
      </c>
      <c r="D19" s="3">
        <v>6.62</v>
      </c>
      <c r="E19" s="33" t="s">
        <v>15</v>
      </c>
      <c r="F19" s="34">
        <v>8.09</v>
      </c>
      <c r="G19" s="35" t="s">
        <v>14</v>
      </c>
      <c r="H19" s="36">
        <v>13.98</v>
      </c>
    </row>
    <row r="20" spans="1:8" ht="25" x14ac:dyDescent="0.35">
      <c r="A20" s="9" t="s">
        <v>22</v>
      </c>
      <c r="B20" s="4">
        <v>8</v>
      </c>
      <c r="C20" s="5">
        <v>10.54</v>
      </c>
      <c r="D20" s="5">
        <v>6.52</v>
      </c>
      <c r="E20" s="33" t="s">
        <v>15</v>
      </c>
      <c r="F20" s="34">
        <v>7.96</v>
      </c>
      <c r="G20" s="35" t="s">
        <v>17</v>
      </c>
      <c r="H20" s="36">
        <v>12.65</v>
      </c>
    </row>
    <row r="21" spans="1:8" x14ac:dyDescent="0.35">
      <c r="A21" s="10" t="s">
        <v>23</v>
      </c>
      <c r="B21" s="1">
        <v>8</v>
      </c>
      <c r="C21" s="3">
        <v>10.220000000000001</v>
      </c>
      <c r="D21" s="3">
        <v>6.82</v>
      </c>
      <c r="E21" s="33" t="s">
        <v>15</v>
      </c>
      <c r="F21" s="34">
        <v>7.43</v>
      </c>
      <c r="G21" s="35" t="s">
        <v>14</v>
      </c>
      <c r="H21" s="36">
        <v>12.82</v>
      </c>
    </row>
    <row r="23" spans="1:8" ht="18" customHeight="1" x14ac:dyDescent="0.35"/>
    <row r="24" spans="1:8" x14ac:dyDescent="0.35">
      <c r="A24" s="69" t="s">
        <v>140</v>
      </c>
      <c r="B24" s="65"/>
      <c r="C24" s="65"/>
      <c r="D24" s="65"/>
      <c r="E24" s="65"/>
      <c r="F24" s="65"/>
      <c r="G24" s="65"/>
      <c r="H24" s="65"/>
    </row>
    <row r="25" spans="1:8" ht="28" x14ac:dyDescent="0.35">
      <c r="A25" s="17" t="s">
        <v>3</v>
      </c>
      <c r="B25" s="17" t="s">
        <v>135</v>
      </c>
      <c r="C25" s="17" t="s">
        <v>28</v>
      </c>
      <c r="D25" s="17" t="s">
        <v>29</v>
      </c>
      <c r="E25" s="17" t="s">
        <v>141</v>
      </c>
      <c r="F25" s="17" t="s">
        <v>137</v>
      </c>
      <c r="G25" s="17" t="s">
        <v>142</v>
      </c>
      <c r="H25" s="17" t="s">
        <v>139</v>
      </c>
    </row>
    <row r="26" spans="1:8" x14ac:dyDescent="0.35">
      <c r="A26" s="2" t="s">
        <v>10</v>
      </c>
      <c r="B26" s="4">
        <v>6</v>
      </c>
      <c r="C26" s="5">
        <v>10.73</v>
      </c>
      <c r="D26" s="5">
        <v>7.14</v>
      </c>
      <c r="E26" s="33" t="s">
        <v>9</v>
      </c>
      <c r="F26" s="34">
        <v>9.01</v>
      </c>
      <c r="G26" s="35" t="s">
        <v>22</v>
      </c>
      <c r="H26" s="36">
        <v>11.84</v>
      </c>
    </row>
    <row r="27" spans="1:8" x14ac:dyDescent="0.35">
      <c r="A27" s="2" t="s">
        <v>12</v>
      </c>
      <c r="B27" s="1">
        <v>6</v>
      </c>
      <c r="C27" s="3">
        <v>8.17</v>
      </c>
      <c r="D27" s="3">
        <v>4.82</v>
      </c>
      <c r="E27" s="33" t="s">
        <v>9</v>
      </c>
      <c r="F27" s="34">
        <v>7.56</v>
      </c>
      <c r="G27" s="35" t="s">
        <v>22</v>
      </c>
      <c r="H27" s="36">
        <v>8.9600000000000009</v>
      </c>
    </row>
    <row r="28" spans="1:8" x14ac:dyDescent="0.35">
      <c r="A28" s="2" t="s">
        <v>13</v>
      </c>
      <c r="B28" s="4">
        <v>6</v>
      </c>
      <c r="C28" s="5">
        <v>8.8699999999999992</v>
      </c>
      <c r="D28" s="5">
        <v>5.15</v>
      </c>
      <c r="E28" s="33" t="s">
        <v>19</v>
      </c>
      <c r="F28" s="34">
        <v>7.68</v>
      </c>
      <c r="G28" s="35" t="s">
        <v>22</v>
      </c>
      <c r="H28" s="36">
        <v>10.14</v>
      </c>
    </row>
    <row r="29" spans="1:8" x14ac:dyDescent="0.35">
      <c r="A29" s="2" t="s">
        <v>14</v>
      </c>
      <c r="B29" s="1">
        <v>6</v>
      </c>
      <c r="C29" s="3">
        <v>13.13</v>
      </c>
      <c r="D29" s="3">
        <v>9.26</v>
      </c>
      <c r="E29" s="33" t="s">
        <v>22</v>
      </c>
      <c r="F29" s="34">
        <v>11.34</v>
      </c>
      <c r="G29" s="35" t="s">
        <v>21</v>
      </c>
      <c r="H29" s="36">
        <v>13.98</v>
      </c>
    </row>
    <row r="30" spans="1:8" x14ac:dyDescent="0.35">
      <c r="A30" s="2" t="s">
        <v>15</v>
      </c>
      <c r="B30" s="4">
        <v>6</v>
      </c>
      <c r="C30" s="5">
        <v>7.52</v>
      </c>
      <c r="D30" s="5">
        <v>4.7699999999999996</v>
      </c>
      <c r="E30" s="33" t="s">
        <v>20</v>
      </c>
      <c r="F30" s="34">
        <v>6.01</v>
      </c>
      <c r="G30" s="35" t="s">
        <v>19</v>
      </c>
      <c r="H30" s="36">
        <v>8.77</v>
      </c>
    </row>
    <row r="31" spans="1:8" x14ac:dyDescent="0.35">
      <c r="A31" s="2" t="s">
        <v>16</v>
      </c>
      <c r="B31" s="1">
        <v>6</v>
      </c>
      <c r="C31" s="3">
        <v>10.31</v>
      </c>
      <c r="D31" s="3">
        <v>5.09</v>
      </c>
      <c r="E31" s="33" t="s">
        <v>9</v>
      </c>
      <c r="F31" s="34">
        <v>9.49</v>
      </c>
      <c r="G31" s="35" t="s">
        <v>19</v>
      </c>
      <c r="H31" s="36">
        <v>10.85</v>
      </c>
    </row>
    <row r="32" spans="1:8" x14ac:dyDescent="0.35">
      <c r="A32" s="2" t="s">
        <v>17</v>
      </c>
      <c r="B32" s="4">
        <v>6</v>
      </c>
      <c r="C32" s="5">
        <v>11.05</v>
      </c>
      <c r="D32" s="5">
        <v>6.88</v>
      </c>
      <c r="E32" s="33" t="s">
        <v>19</v>
      </c>
      <c r="F32" s="34">
        <v>9.09</v>
      </c>
      <c r="G32" s="35" t="s">
        <v>22</v>
      </c>
      <c r="H32" s="36">
        <v>12.65</v>
      </c>
    </row>
    <row r="33" spans="1:8" x14ac:dyDescent="0.35">
      <c r="A33" s="2" t="s">
        <v>18</v>
      </c>
      <c r="B33" s="1">
        <v>6</v>
      </c>
      <c r="C33" s="3">
        <v>10.29</v>
      </c>
      <c r="D33" s="3">
        <v>6.18</v>
      </c>
      <c r="E33" s="33" t="s">
        <v>9</v>
      </c>
      <c r="F33" s="34">
        <v>8.93</v>
      </c>
      <c r="G33" s="35" t="s">
        <v>20</v>
      </c>
      <c r="H33" s="36">
        <v>11.53</v>
      </c>
    </row>
  </sheetData>
  <mergeCells count="13">
    <mergeCell ref="A1:H1"/>
    <mergeCell ref="A3:H3"/>
    <mergeCell ref="E4:F6"/>
    <mergeCell ref="C8:D10"/>
    <mergeCell ref="A24:H24"/>
    <mergeCell ref="A2:H2"/>
    <mergeCell ref="G8:H10"/>
    <mergeCell ref="A14:H14"/>
    <mergeCell ref="C4:D6"/>
    <mergeCell ref="A4:B6"/>
    <mergeCell ref="G4:H6"/>
    <mergeCell ref="E8:F10"/>
    <mergeCell ref="A8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Forecaster Results</vt:lpstr>
      <vt:lpstr>Risk Classifier Results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Jha</cp:lastModifiedBy>
  <dcterms:created xsi:type="dcterms:W3CDTF">2026-03-21T09:10:54Z</dcterms:created>
  <dcterms:modified xsi:type="dcterms:W3CDTF">2026-03-22T06:30:26Z</dcterms:modified>
</cp:coreProperties>
</file>